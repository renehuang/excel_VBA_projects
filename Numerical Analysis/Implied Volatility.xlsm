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64011"/>
  <mc:AlternateContent xmlns:mc="http://schemas.openxmlformats.org/markup-compatibility/2006">
    <mc:Choice Requires="x15">
      <x15ac:absPath xmlns:x15ac="http://schemas.microsoft.com/office/spreadsheetml/2010/11/ac" url="D:\Columbia 17spring\numerical\hw3\"/>
    </mc:Choice>
  </mc:AlternateContent>
  <bookViews>
    <workbookView xWindow="0" yWindow="0" windowWidth="21600" windowHeight="10550"/>
  </bookViews>
  <sheets>
    <sheet name="Sheet1" sheetId="1" r:id="rId1"/>
  </sheets>
  <functionGroups builtInGroupCount="18"/>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5" i="1" l="1"/>
  <c r="B18" i="1"/>
</calcChain>
</file>

<file path=xl/sharedStrings.xml><?xml version="1.0" encoding="utf-8"?>
<sst xmlns="http://schemas.openxmlformats.org/spreadsheetml/2006/main" count="60" uniqueCount="39">
  <si>
    <t>Choose the method</t>
  </si>
  <si>
    <t>Newton Raphson method</t>
  </si>
  <si>
    <t>Regula Falsi method</t>
  </si>
  <si>
    <t>Secant method</t>
  </si>
  <si>
    <t>x for Newton's method</t>
  </si>
  <si>
    <t>Initial guess</t>
  </si>
  <si>
    <t>Implied volatility for one option</t>
  </si>
  <si>
    <t>Inputs</t>
  </si>
  <si>
    <t>Domestic Zero Rate</t>
  </si>
  <si>
    <t>Foreign Interest Rate</t>
  </si>
  <si>
    <t>Option Strike</t>
  </si>
  <si>
    <t>Option Spot</t>
  </si>
  <si>
    <t>Option Price</t>
  </si>
  <si>
    <t>Solved Implied Vol</t>
  </si>
  <si>
    <t>Newton</t>
  </si>
  <si>
    <t>Regula Falsi</t>
  </si>
  <si>
    <t>Secant</t>
  </si>
  <si>
    <t>x_left for regula Falsi</t>
  </si>
  <si>
    <t>x_right for regula Falsi</t>
  </si>
  <si>
    <t>x_left for secant</t>
  </si>
  <si>
    <t>x_right for secant</t>
  </si>
  <si>
    <t>Expiration Time</t>
  </si>
  <si>
    <t>Implied Volatility for bull spread</t>
  </si>
  <si>
    <t>Bull Spread Price</t>
  </si>
  <si>
    <t>Spot</t>
  </si>
  <si>
    <t>Buy option strike</t>
  </si>
  <si>
    <t>Sell option strike</t>
  </si>
  <si>
    <t>Derivative equals to 0! Can not compute</t>
  </si>
  <si>
    <t xml:space="preserve">option price =1 </t>
  </si>
  <si>
    <t>option price =3</t>
  </si>
  <si>
    <t>option price =10</t>
  </si>
  <si>
    <t>Answer for Question 1</t>
  </si>
  <si>
    <t>FULL RESULT FOR Q1</t>
  </si>
  <si>
    <t>For Q1, you can change the input in the left side, and choose the method to get the calculated implied vol. The inputs are set as provided in the question, and user can change the target option price (1, 3, 10) and choose the method, then the 'Solved Implied Vol' column will return the result accordingly. For simplicity, I copied all the value into the 'FULL RESULT FOR Q1' form. As it shows in the result, all three methods converge for the target of 1, 3, and 10.</t>
  </si>
  <si>
    <t>Graph</t>
  </si>
  <si>
    <t>Answer for Q2</t>
  </si>
  <si>
    <t>Vol</t>
  </si>
  <si>
    <t>Function F</t>
  </si>
  <si>
    <t>For Q2, the Newton's method does not converge, and the Regula Falsi &amp; Secant methods give two different result. I've plot the graph of function value (f = bull spread price - 1.7) with the change of vol above, and we can see that it has two zero points. The Regula Falsi and Secant methods converge to different zero point because of the different initial guesses. The newton's method did not converge because it reaches the point where f'=0, the bull spreads vega equal to 0 (from the graph we can tell the point is around 0.25), so it cannot continue the iteration. By well chosen the 'initial guess', all three methods should converge.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</si>
</sst>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theme="1" tint="0.499984740745262"/>
        <bgColor indexed="64"/>
      </patternFill>
    </fill>
    <fill>
      <patternFill patternType="solid">
        <fgColor theme="4" tint="0.59999389629810485"/>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0">
    <xf numFmtId="0" fontId="0" fillId="0" borderId="0" xfId="0"/>
    <xf numFmtId="0" fontId="1" fillId="2" borderId="0" xfId="0" applyFont="1" applyFill="1"/>
    <xf numFmtId="10" fontId="0" fillId="0" borderId="0" xfId="0" applyNumberFormat="1"/>
    <xf numFmtId="9" fontId="0" fillId="0" borderId="0" xfId="0" applyNumberFormat="1"/>
    <xf numFmtId="0" fontId="2" fillId="0" borderId="0" xfId="0" applyFont="1"/>
    <xf numFmtId="0" fontId="0" fillId="0" borderId="0" xfId="0" applyNumberFormat="1"/>
    <xf numFmtId="0" fontId="0" fillId="3" borderId="0" xfId="0" applyFill="1"/>
    <xf numFmtId="0" fontId="0" fillId="3" borderId="0" xfId="0" applyNumberFormat="1" applyFill="1"/>
    <xf numFmtId="0" fontId="1" fillId="0" borderId="0" xfId="0" applyFont="1" applyFill="1"/>
    <xf numFmtId="0" fontId="0" fillId="0" borderId="0" xfId="0" applyFill="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0" fillId="0" borderId="4" xfId="0" applyBorder="1" applyAlignment="1">
      <alignment wrapText="1"/>
    </xf>
    <xf numFmtId="0" fontId="0" fillId="0" borderId="0" xfId="0" applyBorder="1" applyAlignment="1">
      <alignment wrapText="1"/>
    </xf>
    <xf numFmtId="0" fontId="0" fillId="0" borderId="5" xfId="0" applyBorder="1" applyAlignment="1">
      <alignment wrapText="1"/>
    </xf>
    <xf numFmtId="0" fontId="0" fillId="0" borderId="6" xfId="0" applyBorder="1" applyAlignment="1">
      <alignment wrapText="1"/>
    </xf>
    <xf numFmtId="0" fontId="0" fillId="0" borderId="7" xfId="0" applyBorder="1" applyAlignment="1">
      <alignment wrapText="1"/>
    </xf>
    <xf numFmtId="0" fontId="0" fillId="0" borderId="8" xfId="0" applyBorder="1" applyAlignment="1">
      <alignment wrapText="1"/>
    </xf>
    <xf numFmtId="0" fontId="1" fillId="4" borderId="0" xfId="0" applyFont="1" applyFill="1"/>
    <xf numFmtId="0" fontId="0" fillId="0" borderId="1" xfId="0" applyBorder="1" applyAlignment="1">
      <alignment horizontal="left" wrapText="1"/>
    </xf>
    <xf numFmtId="0" fontId="0" fillId="0" borderId="2" xfId="0" applyBorder="1" applyAlignment="1">
      <alignment horizontal="left" wrapText="1"/>
    </xf>
    <xf numFmtId="0" fontId="0" fillId="0" borderId="3" xfId="0" applyBorder="1" applyAlignment="1">
      <alignment horizontal="left" wrapText="1"/>
    </xf>
    <xf numFmtId="0" fontId="0" fillId="0" borderId="4" xfId="0" applyBorder="1" applyAlignment="1">
      <alignment horizontal="left" wrapText="1"/>
    </xf>
    <xf numFmtId="0" fontId="0" fillId="0" borderId="0" xfId="0" applyBorder="1" applyAlignment="1">
      <alignment horizontal="left" wrapText="1"/>
    </xf>
    <xf numFmtId="0" fontId="0" fillId="0" borderId="5" xfId="0" applyBorder="1" applyAlignment="1">
      <alignment horizontal="left" wrapText="1"/>
    </xf>
    <xf numFmtId="0" fontId="0" fillId="0" borderId="6" xfId="0" applyBorder="1" applyAlignment="1">
      <alignment horizontal="left" wrapText="1"/>
    </xf>
    <xf numFmtId="0" fontId="0" fillId="0" borderId="7" xfId="0" applyBorder="1" applyAlignment="1">
      <alignment horizontal="left" wrapText="1"/>
    </xf>
    <xf numFmtId="0" fontId="0" fillId="0" borderId="8" xfId="0" applyBorder="1" applyAlignment="1">
      <alignment horizontal="left" wrapText="1"/>
    </xf>
    <xf numFmtId="0" fontId="0" fillId="0" borderId="0" xfId="0"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161218201762048E-2"/>
          <c:y val="3.7619997842735411E-2"/>
          <c:w val="0.89295390871172164"/>
          <c:h val="0.91207960306331559"/>
        </c:manualLayout>
      </c:layout>
      <c:lineChart>
        <c:grouping val="standard"/>
        <c:varyColors val="0"/>
        <c:ser>
          <c:idx val="1"/>
          <c:order val="0"/>
          <c:tx>
            <c:strRef>
              <c:f>Sheet1!$L$29</c:f>
              <c:strCache>
                <c:ptCount val="1"/>
                <c:pt idx="0">
                  <c:v>Function F</c:v>
                </c:pt>
              </c:strCache>
            </c:strRef>
          </c:tx>
          <c:spPr>
            <a:ln w="28575" cap="rnd">
              <a:solidFill>
                <a:schemeClr val="accent2"/>
              </a:solidFill>
              <a:round/>
            </a:ln>
            <a:effectLst/>
          </c:spPr>
          <c:marker>
            <c:symbol val="none"/>
          </c:marker>
          <c:cat>
            <c:strRef>
              <c:extLst>
                <c:ext xmlns:c15="http://schemas.microsoft.com/office/drawing/2012/chart" uri="{02D57815-91ED-43cb-92C2-25804820EDAC}">
                  <c15:fullRef>
                    <c15:sqref>Sheet1!$K$29:$K$129</c15:sqref>
                  </c15:fullRef>
                </c:ext>
              </c:extLst>
              <c:f>Sheet1!$K$30:$K$129</c:f>
              <c:strCache>
                <c:ptCount val="100"/>
                <c:pt idx="0">
                  <c:v>0.01</c:v>
                </c:pt>
                <c:pt idx="1">
                  <c:v>0.02</c:v>
                </c:pt>
                <c:pt idx="2">
                  <c:v>0.03</c:v>
                </c:pt>
                <c:pt idx="3">
                  <c:v>0.04</c:v>
                </c:pt>
                <c:pt idx="4">
                  <c:v>0.05</c:v>
                </c:pt>
                <c:pt idx="5">
                  <c:v>0.06</c:v>
                </c:pt>
                <c:pt idx="6">
                  <c:v>0.07</c:v>
                </c:pt>
                <c:pt idx="7">
                  <c:v>0.08</c:v>
                </c:pt>
                <c:pt idx="8">
                  <c:v>0.09</c:v>
                </c:pt>
                <c:pt idx="9">
                  <c:v>0.1</c:v>
                </c:pt>
                <c:pt idx="10">
                  <c:v>0.11</c:v>
                </c:pt>
                <c:pt idx="11">
                  <c:v>0.12</c:v>
                </c:pt>
                <c:pt idx="12">
                  <c:v>0.13</c:v>
                </c:pt>
                <c:pt idx="13">
                  <c:v>0.14</c:v>
                </c:pt>
                <c:pt idx="14">
                  <c:v>0.15</c:v>
                </c:pt>
                <c:pt idx="15">
                  <c:v>0.16</c:v>
                </c:pt>
                <c:pt idx="16">
                  <c:v>0.17</c:v>
                </c:pt>
                <c:pt idx="17">
                  <c:v>0.18</c:v>
                </c:pt>
                <c:pt idx="18">
                  <c:v>0.19</c:v>
                </c:pt>
                <c:pt idx="19">
                  <c:v>0.2</c:v>
                </c:pt>
                <c:pt idx="20">
                  <c:v>0.21</c:v>
                </c:pt>
                <c:pt idx="21">
                  <c:v>0.22</c:v>
                </c:pt>
                <c:pt idx="22">
                  <c:v>0.23</c:v>
                </c:pt>
                <c:pt idx="23">
                  <c:v>0.24</c:v>
                </c:pt>
                <c:pt idx="24">
                  <c:v>0.25</c:v>
                </c:pt>
                <c:pt idx="25">
                  <c:v>0.26</c:v>
                </c:pt>
                <c:pt idx="26">
                  <c:v>0.27</c:v>
                </c:pt>
                <c:pt idx="27">
                  <c:v>0.28</c:v>
                </c:pt>
                <c:pt idx="28">
                  <c:v>0.29</c:v>
                </c:pt>
                <c:pt idx="29">
                  <c:v>0.3</c:v>
                </c:pt>
                <c:pt idx="30">
                  <c:v>0.31</c:v>
                </c:pt>
                <c:pt idx="31">
                  <c:v>0.32</c:v>
                </c:pt>
                <c:pt idx="32">
                  <c:v>0.33</c:v>
                </c:pt>
                <c:pt idx="33">
                  <c:v>0.34</c:v>
                </c:pt>
                <c:pt idx="34">
                  <c:v>0.35</c:v>
                </c:pt>
                <c:pt idx="35">
                  <c:v>0.36</c:v>
                </c:pt>
                <c:pt idx="36">
                  <c:v>0.37</c:v>
                </c:pt>
                <c:pt idx="37">
                  <c:v>0.38</c:v>
                </c:pt>
                <c:pt idx="38">
                  <c:v>0.39</c:v>
                </c:pt>
                <c:pt idx="39">
                  <c:v>0.4</c:v>
                </c:pt>
                <c:pt idx="40">
                  <c:v>0.41</c:v>
                </c:pt>
                <c:pt idx="41">
                  <c:v>0.42</c:v>
                </c:pt>
                <c:pt idx="42">
                  <c:v>0.43</c:v>
                </c:pt>
                <c:pt idx="43">
                  <c:v>0.44</c:v>
                </c:pt>
                <c:pt idx="44">
                  <c:v>0.45</c:v>
                </c:pt>
                <c:pt idx="45">
                  <c:v>0.46</c:v>
                </c:pt>
                <c:pt idx="46">
                  <c:v>0.47</c:v>
                </c:pt>
                <c:pt idx="47">
                  <c:v>0.48</c:v>
                </c:pt>
                <c:pt idx="48">
                  <c:v>0.49</c:v>
                </c:pt>
                <c:pt idx="49">
                  <c:v>0.5</c:v>
                </c:pt>
                <c:pt idx="50">
                  <c:v>0.51</c:v>
                </c:pt>
                <c:pt idx="51">
                  <c:v>0.52</c:v>
                </c:pt>
                <c:pt idx="52">
                  <c:v>0.53</c:v>
                </c:pt>
                <c:pt idx="53">
                  <c:v>0.54</c:v>
                </c:pt>
                <c:pt idx="54">
                  <c:v>0.55</c:v>
                </c:pt>
                <c:pt idx="55">
                  <c:v>0.56</c:v>
                </c:pt>
                <c:pt idx="56">
                  <c:v>0.57</c:v>
                </c:pt>
                <c:pt idx="57">
                  <c:v>0.58</c:v>
                </c:pt>
                <c:pt idx="58">
                  <c:v>0.59</c:v>
                </c:pt>
                <c:pt idx="59">
                  <c:v>0.6</c:v>
                </c:pt>
                <c:pt idx="60">
                  <c:v>0.61</c:v>
                </c:pt>
                <c:pt idx="61">
                  <c:v>0.62</c:v>
                </c:pt>
                <c:pt idx="62">
                  <c:v>0.63</c:v>
                </c:pt>
                <c:pt idx="63">
                  <c:v>0.64</c:v>
                </c:pt>
                <c:pt idx="64">
                  <c:v>0.65</c:v>
                </c:pt>
                <c:pt idx="65">
                  <c:v>0.66</c:v>
                </c:pt>
                <c:pt idx="66">
                  <c:v>0.67</c:v>
                </c:pt>
                <c:pt idx="67">
                  <c:v>0.68</c:v>
                </c:pt>
                <c:pt idx="68">
                  <c:v>0.69</c:v>
                </c:pt>
                <c:pt idx="69">
                  <c:v>0.7</c:v>
                </c:pt>
                <c:pt idx="70">
                  <c:v>0.71</c:v>
                </c:pt>
                <c:pt idx="71">
                  <c:v>0.72</c:v>
                </c:pt>
                <c:pt idx="72">
                  <c:v>0.73</c:v>
                </c:pt>
                <c:pt idx="73">
                  <c:v>0.74</c:v>
                </c:pt>
                <c:pt idx="74">
                  <c:v>0.75</c:v>
                </c:pt>
                <c:pt idx="75">
                  <c:v>0.76</c:v>
                </c:pt>
                <c:pt idx="76">
                  <c:v>0.77</c:v>
                </c:pt>
                <c:pt idx="77">
                  <c:v>0.78</c:v>
                </c:pt>
                <c:pt idx="78">
                  <c:v>0.79</c:v>
                </c:pt>
                <c:pt idx="79">
                  <c:v>0.8</c:v>
                </c:pt>
                <c:pt idx="80">
                  <c:v>0.81</c:v>
                </c:pt>
                <c:pt idx="81">
                  <c:v>0.82</c:v>
                </c:pt>
                <c:pt idx="82">
                  <c:v>0.83</c:v>
                </c:pt>
                <c:pt idx="83">
                  <c:v>0.84</c:v>
                </c:pt>
                <c:pt idx="84">
                  <c:v>0.85</c:v>
                </c:pt>
                <c:pt idx="85">
                  <c:v>0.86</c:v>
                </c:pt>
                <c:pt idx="86">
                  <c:v>0.87</c:v>
                </c:pt>
                <c:pt idx="87">
                  <c:v>0.88</c:v>
                </c:pt>
                <c:pt idx="88">
                  <c:v>0.89</c:v>
                </c:pt>
                <c:pt idx="89">
                  <c:v>0.9</c:v>
                </c:pt>
                <c:pt idx="90">
                  <c:v>0.91</c:v>
                </c:pt>
                <c:pt idx="91">
                  <c:v>0.92</c:v>
                </c:pt>
                <c:pt idx="92">
                  <c:v>0.93</c:v>
                </c:pt>
                <c:pt idx="93">
                  <c:v>0.94</c:v>
                </c:pt>
                <c:pt idx="94">
                  <c:v>0.95</c:v>
                </c:pt>
                <c:pt idx="95">
                  <c:v>0.96</c:v>
                </c:pt>
                <c:pt idx="96">
                  <c:v>0.97</c:v>
                </c:pt>
                <c:pt idx="97">
                  <c:v>0.98</c:v>
                </c:pt>
                <c:pt idx="98">
                  <c:v>0.99</c:v>
                </c:pt>
                <c:pt idx="99">
                  <c:v>1</c:v>
                </c:pt>
              </c:strCache>
            </c:strRef>
          </c:cat>
          <c:val>
            <c:numRef>
              <c:extLst>
                <c:ext xmlns:c15="http://schemas.microsoft.com/office/drawing/2012/chart" uri="{02D57815-91ED-43cb-92C2-25804820EDAC}">
                  <c15:fullRef>
                    <c15:sqref>Sheet1!$L$30:$L$129</c15:sqref>
                  </c15:fullRef>
                </c:ext>
              </c:extLst>
              <c:f>Sheet1!$L$31:$L$129</c:f>
              <c:numCache>
                <c:formatCode>General</c:formatCode>
                <c:ptCount val="99"/>
                <c:pt idx="0">
                  <c:v>-0.61339522017928871</c:v>
                </c:pt>
                <c:pt idx="1">
                  <c:v>-0.45350025779303471</c:v>
                </c:pt>
                <c:pt idx="2">
                  <c:v>-0.32476682571329074</c:v>
                </c:pt>
                <c:pt idx="3">
                  <c:v>-0.23011773907626387</c:v>
                </c:pt>
                <c:pt idx="4">
                  <c:v>-0.16062154753063562</c:v>
                </c:pt>
                <c:pt idx="5">
                  <c:v>-0.10861945427905506</c:v>
                </c:pt>
                <c:pt idx="6">
                  <c:v>-6.8869075430115556E-2</c:v>
                </c:pt>
                <c:pt idx="7">
                  <c:v>-3.7896678247076876E-2</c:v>
                </c:pt>
                <c:pt idx="8">
                  <c:v>-1.337474209352929E-2</c:v>
                </c:pt>
                <c:pt idx="9">
                  <c:v>6.2920394561800652E-3</c:v>
                </c:pt>
                <c:pt idx="10">
                  <c:v>2.2224570189602888E-2</c:v>
                </c:pt>
                <c:pt idx="11">
                  <c:v>3.5229425009350779E-2</c:v>
                </c:pt>
                <c:pt idx="12">
                  <c:v>4.5899849598515674E-2</c:v>
                </c:pt>
                <c:pt idx="13">
                  <c:v>5.4680903530477609E-2</c:v>
                </c:pt>
                <c:pt idx="14">
                  <c:v>6.1912460589478302E-2</c:v>
                </c:pt>
                <c:pt idx="15">
                  <c:v>6.7858238035330531E-2</c:v>
                </c:pt>
                <c:pt idx="16">
                  <c:v>7.2725812072835128E-2</c:v>
                </c:pt>
                <c:pt idx="17">
                  <c:v>7.6680690421898179E-2</c:v>
                </c:pt>
                <c:pt idx="18">
                  <c:v>7.9856385602535385E-2</c:v>
                </c:pt>
                <c:pt idx="19">
                  <c:v>8.2361745024978505E-2</c:v>
                </c:pt>
                <c:pt idx="20">
                  <c:v>8.4286365901493854E-2</c:v>
                </c:pt>
                <c:pt idx="21">
                  <c:v>8.5704651047311176E-2</c:v>
                </c:pt>
                <c:pt idx="22">
                  <c:v>8.6678885533902461E-2</c:v>
                </c:pt>
                <c:pt idx="23">
                  <c:v>8.7261598039663157E-2</c:v>
                </c:pt>
                <c:pt idx="24">
                  <c:v>8.7497392872886381E-2</c:v>
                </c:pt>
                <c:pt idx="25">
                  <c:v>8.7424385588764197E-2</c:v>
                </c:pt>
                <c:pt idx="26">
                  <c:v>8.7075338438178607E-2</c:v>
                </c:pt>
                <c:pt idx="27">
                  <c:v>8.6478566171133808E-2</c:v>
                </c:pt>
                <c:pt idx="28">
                  <c:v>8.5658664455162681E-2</c:v>
                </c:pt>
                <c:pt idx="29">
                  <c:v>8.4637100044605562E-2</c:v>
                </c:pt>
                <c:pt idx="30">
                  <c:v>8.343269229664263E-2</c:v>
                </c:pt>
                <c:pt idx="31">
                  <c:v>8.2062008621743177E-2</c:v>
                </c:pt>
                <c:pt idx="32">
                  <c:v>8.0539691256919399E-2</c:v>
                </c:pt>
                <c:pt idx="33">
                  <c:v>7.8878728856383917E-2</c:v>
                </c:pt>
                <c:pt idx="34">
                  <c:v>7.7090683452982534E-2</c:v>
                </c:pt>
                <c:pt idx="35">
                  <c:v>7.5185881102252994E-2</c:v>
                </c:pt>
                <c:pt idx="36">
                  <c:v>7.3173572801653153E-2</c:v>
                </c:pt>
                <c:pt idx="37">
                  <c:v>7.1062070945866695E-2</c:v>
                </c:pt>
                <c:pt idx="38">
                  <c:v>6.8858865543720116E-2</c:v>
                </c:pt>
                <c:pt idx="39">
                  <c:v>6.6570723608417426E-2</c:v>
                </c:pt>
                <c:pt idx="40">
                  <c:v>6.420377449313297E-2</c:v>
                </c:pt>
                <c:pt idx="41">
                  <c:v>6.176358343382593E-2</c:v>
                </c:pt>
                <c:pt idx="42">
                  <c:v>5.925521515527099E-2</c:v>
                </c:pt>
                <c:pt idx="43">
                  <c:v>5.6683289070849741E-2</c:v>
                </c:pt>
                <c:pt idx="44">
                  <c:v>5.4052027342027076E-2</c:v>
                </c:pt>
                <c:pt idx="45">
                  <c:v>5.1365296851787479E-2</c:v>
                </c:pt>
                <c:pt idx="46">
                  <c:v>4.8626645971477034E-2</c:v>
                </c:pt>
                <c:pt idx="47">
                  <c:v>4.5839336858324531E-2</c:v>
                </c:pt>
                <c:pt idx="48">
                  <c:v>4.3006373904584949E-2</c:v>
                </c:pt>
                <c:pt idx="49">
                  <c:v>4.0130528862039272E-2</c:v>
                </c:pt>
                <c:pt idx="50">
                  <c:v>3.7214363086366165E-2</c:v>
                </c:pt>
                <c:pt idx="51">
                  <c:v>3.4260247278783185E-2</c:v>
                </c:pt>
                <c:pt idx="52">
                  <c:v>3.1270379047316554E-2</c:v>
                </c:pt>
                <c:pt idx="53">
                  <c:v>2.8246798563269282E-2</c:v>
                </c:pt>
                <c:pt idx="54">
                  <c:v>2.519140254933494E-2</c:v>
                </c:pt>
                <c:pt idx="55">
                  <c:v>2.2105956803282867E-2</c:v>
                </c:pt>
                <c:pt idx="56">
                  <c:v>1.8992107432654892E-2</c:v>
                </c:pt>
                <c:pt idx="57">
                  <c:v>1.5851390952494215E-2</c:v>
                </c:pt>
                <c:pt idx="58">
                  <c:v>1.2685243378331323E-2</c:v>
                </c:pt>
                <c:pt idx="59">
                  <c:v>9.4950084286040681E-3</c:v>
                </c:pt>
                <c:pt idx="60">
                  <c:v>6.2819449370608016E-3</c:v>
                </c:pt>
                <c:pt idx="61">
                  <c:v>3.0472335622022673E-3</c:v>
                </c:pt>
                <c:pt idx="62">
                  <c:v>-2.0801712988993692E-4</c:v>
                </c:pt>
                <c:pt idx="63">
                  <c:v>-3.4827651416307059E-3</c:v>
                </c:pt>
                <c:pt idx="64">
                  <c:v>-6.7760300205292889E-3</c:v>
                </c:pt>
                <c:pt idx="65">
                  <c:v>-1.0086888283812767E-2</c:v>
                </c:pt>
                <c:pt idx="66">
                  <c:v>-1.3414469245351723E-2</c:v>
                </c:pt>
                <c:pt idx="67">
                  <c:v>-1.6757951204152688E-2</c:v>
                </c:pt>
                <c:pt idx="68">
                  <c:v>-2.0116557958463899E-2</c:v>
                </c:pt>
                <c:pt idx="69">
                  <c:v>-2.3489555613512847E-2</c:v>
                </c:pt>
                <c:pt idx="70">
                  <c:v>-2.6876249654418372E-2</c:v>
                </c:pt>
                <c:pt idx="71">
                  <c:v>-3.027598225895356E-2</c:v>
                </c:pt>
                <c:pt idx="72">
                  <c:v>-3.3688129827535773E-2</c:v>
                </c:pt>
                <c:pt idx="73">
                  <c:v>-3.7112100710136486E-2</c:v>
                </c:pt>
                <c:pt idx="74">
                  <c:v>-4.054733311247527E-2</c:v>
                </c:pt>
                <c:pt idx="75">
                  <c:v>-4.3993293164579894E-2</c:v>
                </c:pt>
                <c:pt idx="76">
                  <c:v>-4.7449473137622489E-2</c:v>
                </c:pt>
                <c:pt idx="77">
                  <c:v>-5.0915389796114097E-2</c:v>
                </c:pt>
                <c:pt idx="78">
                  <c:v>-5.4390582872916537E-2</c:v>
                </c:pt>
                <c:pt idx="79">
                  <c:v>-5.7874613657429519E-2</c:v>
                </c:pt>
                <c:pt idx="80">
                  <c:v>-6.1367063686444068E-2</c:v>
                </c:pt>
                <c:pt idx="81">
                  <c:v>-6.4867533529789467E-2</c:v>
                </c:pt>
                <c:pt idx="82">
                  <c:v>-6.8375641662161923E-2</c:v>
                </c:pt>
                <c:pt idx="83">
                  <c:v>-7.189102341491771E-2</c:v>
                </c:pt>
                <c:pt idx="84">
                  <c:v>-7.5413330000270618E-2</c:v>
                </c:pt>
                <c:pt idx="85">
                  <c:v>-7.8942227603204129E-2</c:v>
                </c:pt>
                <c:pt idx="86">
                  <c:v>-8.2477396534831326E-2</c:v>
                </c:pt>
                <c:pt idx="87">
                  <c:v>-8.6018530442861119E-2</c:v>
                </c:pt>
                <c:pt idx="88">
                  <c:v>-8.9565335574694371E-2</c:v>
                </c:pt>
                <c:pt idx="89">
                  <c:v>-9.3117530088922207E-2</c:v>
                </c:pt>
                <c:pt idx="90">
                  <c:v>-9.6674843411602707E-2</c:v>
                </c:pt>
                <c:pt idx="91">
                  <c:v>-0.10023701563423937</c:v>
                </c:pt>
                <c:pt idx="92">
                  <c:v>-0.10380379694997965</c:v>
                </c:pt>
                <c:pt idx="93">
                  <c:v>-0.10737494712532647</c:v>
                </c:pt>
                <c:pt idx="94">
                  <c:v>-0.11095023500497514</c:v>
                </c:pt>
                <c:pt idx="95">
                  <c:v>-0.1145294380471682</c:v>
                </c:pt>
                <c:pt idx="96">
                  <c:v>-0.11811234188748609</c:v>
                </c:pt>
                <c:pt idx="97">
                  <c:v>-0.12169873992906299</c:v>
                </c:pt>
                <c:pt idx="98">
                  <c:v>-0.12528843295738024</c:v>
                </c:pt>
              </c:numCache>
            </c:numRef>
          </c:val>
          <c:smooth val="0"/>
          <c:extLst>
            <c:ext xmlns:c16="http://schemas.microsoft.com/office/drawing/2014/chart" uri="{C3380CC4-5D6E-409C-BE32-E72D297353CC}">
              <c16:uniqueId val="{00000001-59BE-4B63-AEA2-5E14FDA94023}"/>
            </c:ext>
          </c:extLst>
        </c:ser>
        <c:dLbls>
          <c:showLegendKey val="0"/>
          <c:showVal val="0"/>
          <c:showCatName val="0"/>
          <c:showSerName val="0"/>
          <c:showPercent val="0"/>
          <c:showBubbleSize val="0"/>
        </c:dLbls>
        <c:smooth val="0"/>
        <c:axId val="475517304"/>
        <c:axId val="475520256"/>
      </c:lineChart>
      <c:catAx>
        <c:axId val="475517304"/>
        <c:scaling>
          <c:orientation val="minMax"/>
        </c:scaling>
        <c:delete val="0"/>
        <c:axPos val="b"/>
        <c:numFmt formatCode="General" sourceLinked="1"/>
        <c:majorTickMark val="none"/>
        <c:minorTickMark val="none"/>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520256"/>
        <c:crosses val="autoZero"/>
        <c:auto val="1"/>
        <c:lblAlgn val="ctr"/>
        <c:lblOffset val="100"/>
        <c:noMultiLvlLbl val="0"/>
      </c:catAx>
      <c:valAx>
        <c:axId val="475520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3175">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517304"/>
        <c:crosses val="autoZero"/>
        <c:crossBetween val="between"/>
      </c:valAx>
      <c:spPr>
        <a:solidFill>
          <a:schemeClr val="bg2"/>
        </a:solid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5" fmlaLink="$B$3" fmlaRange="$A$4:$A$6" noThreeD="1" sel="3"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25" fmlaLink="$B$29" fmlaRange="$A$30:$A$32" noThreeD="1" sel="2"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6350</xdr:rowOff>
        </xdr:from>
        <xdr:to>
          <xdr:col>2</xdr:col>
          <xdr:colOff>533400</xdr:colOff>
          <xdr:row>4</xdr:row>
          <xdr:rowOff>12700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20</xdr:row>
          <xdr:rowOff>114300</xdr:rowOff>
        </xdr:from>
        <xdr:to>
          <xdr:col>0</xdr:col>
          <xdr:colOff>1041400</xdr:colOff>
          <xdr:row>22</xdr:row>
          <xdr:rowOff>50800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Find Solution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1905000</xdr:colOff>
          <xdr:row>29</xdr:row>
          <xdr:rowOff>0</xdr:rowOff>
        </xdr:from>
        <xdr:to>
          <xdr:col>2</xdr:col>
          <xdr:colOff>508000</xdr:colOff>
          <xdr:row>30</xdr:row>
          <xdr:rowOff>25400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47</xdr:row>
          <xdr:rowOff>63500</xdr:rowOff>
        </xdr:from>
        <xdr:to>
          <xdr:col>0</xdr:col>
          <xdr:colOff>1073150</xdr:colOff>
          <xdr:row>49</xdr:row>
          <xdr:rowOff>31750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Find Solution</a:t>
              </a:r>
            </a:p>
          </xdr:txBody>
        </xdr:sp>
        <xdr:clientData fPrintsWithSheet="0"/>
      </xdr:twoCellAnchor>
    </mc:Choice>
    <mc:Fallback/>
  </mc:AlternateContent>
  <xdr:twoCellAnchor>
    <xdr:from>
      <xdr:col>6</xdr:col>
      <xdr:colOff>15875</xdr:colOff>
      <xdr:row>29</xdr:row>
      <xdr:rowOff>0</xdr:rowOff>
    </xdr:from>
    <xdr:to>
      <xdr:col>10</xdr:col>
      <xdr:colOff>0</xdr:colOff>
      <xdr:row>39</xdr:row>
      <xdr:rowOff>6350</xdr:rowOff>
    </xdr:to>
    <xdr:graphicFrame macro="">
      <xdr:nvGraphicFramePr>
        <xdr:cNvPr id="2" name="Chart 1">
          <a:extLst>
            <a:ext uri="{FF2B5EF4-FFF2-40B4-BE49-F238E27FC236}">
              <a16:creationId xmlns:a16="http://schemas.microsoft.com/office/drawing/2014/main" id="{F8E3EB40-0978-47EE-90EB-34F27A6C55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129"/>
  <sheetViews>
    <sheetView tabSelected="1" topLeftCell="A24" zoomScale="124" zoomScaleNormal="85" workbookViewId="0">
      <selection activeCell="F35" sqref="F35"/>
    </sheetView>
  </sheetViews>
  <sheetFormatPr defaultRowHeight="14.5" x14ac:dyDescent="0.35"/>
  <cols>
    <col min="1" max="1" width="27.36328125" bestFit="1" customWidth="1"/>
    <col min="2" max="2" width="8.7265625" style="5"/>
    <col min="3" max="3" width="15.36328125" bestFit="1" customWidth="1"/>
    <col min="4" max="4" width="8.7265625" style="5"/>
    <col min="5" max="5" width="1.26953125" style="6" customWidth="1"/>
    <col min="6" max="6" width="30" bestFit="1" customWidth="1"/>
    <col min="7" max="7" width="13.90625" customWidth="1"/>
    <col min="8" max="8" width="14.7265625" customWidth="1"/>
    <col min="9" max="9" width="15.54296875" customWidth="1"/>
    <col min="11" max="11" width="9.453125" style="9" customWidth="1"/>
    <col min="12" max="12" width="14.7265625" bestFit="1" customWidth="1"/>
  </cols>
  <sheetData>
    <row r="1" spans="1:9" x14ac:dyDescent="0.35">
      <c r="A1" s="1" t="s">
        <v>6</v>
      </c>
    </row>
    <row r="3" spans="1:9" x14ac:dyDescent="0.35">
      <c r="A3" s="1" t="s">
        <v>0</v>
      </c>
      <c r="B3" s="5">
        <v>3</v>
      </c>
      <c r="F3" s="1" t="s">
        <v>13</v>
      </c>
      <c r="G3" t="s">
        <v>14</v>
      </c>
      <c r="H3">
        <v>0.14653242092288957</v>
      </c>
    </row>
    <row r="4" spans="1:9" x14ac:dyDescent="0.35">
      <c r="A4" t="s">
        <v>1</v>
      </c>
      <c r="G4" t="s">
        <v>15</v>
      </c>
      <c r="H4">
        <v>0.14653242064312288</v>
      </c>
    </row>
    <row r="5" spans="1:9" x14ac:dyDescent="0.35">
      <c r="A5" t="s">
        <v>2</v>
      </c>
      <c r="G5" t="s">
        <v>16</v>
      </c>
      <c r="H5">
        <v>0.14653242076931974</v>
      </c>
    </row>
    <row r="6" spans="1:9" x14ac:dyDescent="0.35">
      <c r="A6" t="s">
        <v>3</v>
      </c>
      <c r="F6" s="8"/>
    </row>
    <row r="8" spans="1:9" x14ac:dyDescent="0.35">
      <c r="A8" s="1" t="s">
        <v>5</v>
      </c>
      <c r="F8" s="1" t="s">
        <v>32</v>
      </c>
      <c r="G8" t="s">
        <v>28</v>
      </c>
      <c r="H8" t="s">
        <v>29</v>
      </c>
      <c r="I8" t="s">
        <v>30</v>
      </c>
    </row>
    <row r="9" spans="1:9" x14ac:dyDescent="0.35">
      <c r="A9" t="s">
        <v>17</v>
      </c>
      <c r="B9" s="5">
        <v>0.01</v>
      </c>
      <c r="C9" s="3" t="s">
        <v>19</v>
      </c>
      <c r="D9" s="5">
        <v>0.19</v>
      </c>
      <c r="F9" t="s">
        <v>14</v>
      </c>
      <c r="G9">
        <v>6.136969002158231E-2</v>
      </c>
      <c r="H9">
        <v>0.14653242092288957</v>
      </c>
      <c r="I9">
        <v>0.44100126900498365</v>
      </c>
    </row>
    <row r="10" spans="1:9" x14ac:dyDescent="0.35">
      <c r="A10" t="s">
        <v>18</v>
      </c>
      <c r="B10" s="5">
        <v>0.3</v>
      </c>
      <c r="C10" s="3" t="s">
        <v>20</v>
      </c>
      <c r="D10" s="5">
        <v>0.2</v>
      </c>
      <c r="F10" t="s">
        <v>15</v>
      </c>
      <c r="G10">
        <v>6.1369689747984291E-2</v>
      </c>
      <c r="H10">
        <v>0.14653242064312288</v>
      </c>
      <c r="I10">
        <v>0.4410012690052536</v>
      </c>
    </row>
    <row r="11" spans="1:9" x14ac:dyDescent="0.35">
      <c r="A11" t="s">
        <v>4</v>
      </c>
      <c r="B11" s="5">
        <v>0.2</v>
      </c>
      <c r="C11" s="3"/>
      <c r="F11" t="s">
        <v>16</v>
      </c>
      <c r="G11">
        <v>6.1369690021581901E-2</v>
      </c>
      <c r="H11">
        <v>0.14653242076931974</v>
      </c>
      <c r="I11">
        <v>0.44100126900522235</v>
      </c>
    </row>
    <row r="13" spans="1:9" ht="15" thickBot="1" x14ac:dyDescent="0.4">
      <c r="A13" s="1" t="s">
        <v>7</v>
      </c>
      <c r="F13" s="1" t="s">
        <v>31</v>
      </c>
    </row>
    <row r="14" spans="1:9" x14ac:dyDescent="0.35">
      <c r="A14" t="s">
        <v>8</v>
      </c>
      <c r="B14" s="5">
        <v>5.0000000000000001E-3</v>
      </c>
      <c r="C14" s="2"/>
      <c r="F14" s="10" t="s">
        <v>33</v>
      </c>
      <c r="G14" s="11"/>
      <c r="H14" s="11"/>
      <c r="I14" s="12"/>
    </row>
    <row r="15" spans="1:9" x14ac:dyDescent="0.35">
      <c r="A15" t="s">
        <v>9</v>
      </c>
      <c r="B15" s="5">
        <v>0.04</v>
      </c>
      <c r="C15" s="3"/>
      <c r="F15" s="13"/>
      <c r="G15" s="14"/>
      <c r="H15" s="14"/>
      <c r="I15" s="15"/>
    </row>
    <row r="16" spans="1:9" x14ac:dyDescent="0.35">
      <c r="A16" t="s">
        <v>10</v>
      </c>
      <c r="B16" s="5">
        <v>120</v>
      </c>
      <c r="F16" s="13"/>
      <c r="G16" s="14"/>
      <c r="H16" s="14"/>
      <c r="I16" s="15"/>
    </row>
    <row r="17" spans="1:12" x14ac:dyDescent="0.35">
      <c r="A17" t="s">
        <v>11</v>
      </c>
      <c r="B17" s="5">
        <v>120</v>
      </c>
      <c r="F17" s="13"/>
      <c r="G17" s="14"/>
      <c r="H17" s="14"/>
      <c r="I17" s="15"/>
    </row>
    <row r="18" spans="1:12" x14ac:dyDescent="0.35">
      <c r="A18" t="s">
        <v>21</v>
      </c>
      <c r="B18" s="5">
        <f>92/365</f>
        <v>0.25205479452054796</v>
      </c>
      <c r="F18" s="13"/>
      <c r="G18" s="14"/>
      <c r="H18" s="14"/>
      <c r="I18" s="15"/>
    </row>
    <row r="19" spans="1:12" ht="15" thickBot="1" x14ac:dyDescent="0.4">
      <c r="A19" s="4" t="s">
        <v>12</v>
      </c>
      <c r="B19" s="5">
        <v>3</v>
      </c>
      <c r="F19" s="16"/>
      <c r="G19" s="17"/>
      <c r="H19" s="17"/>
      <c r="I19" s="18"/>
    </row>
    <row r="25" spans="1:12" s="6" customFormat="1" ht="6" customHeight="1" x14ac:dyDescent="0.35">
      <c r="B25" s="7"/>
      <c r="D25" s="7"/>
    </row>
    <row r="27" spans="1:12" x14ac:dyDescent="0.35">
      <c r="A27" s="1" t="s">
        <v>22</v>
      </c>
      <c r="F27" s="1" t="s">
        <v>13</v>
      </c>
      <c r="G27" t="s">
        <v>14</v>
      </c>
      <c r="H27" t="s">
        <v>27</v>
      </c>
    </row>
    <row r="28" spans="1:12" x14ac:dyDescent="0.35">
      <c r="G28" t="s">
        <v>15</v>
      </c>
      <c r="H28">
        <v>0.10656171292843014</v>
      </c>
    </row>
    <row r="29" spans="1:12" ht="23.5" customHeight="1" x14ac:dyDescent="0.35">
      <c r="A29" s="1" t="s">
        <v>0</v>
      </c>
      <c r="B29" s="5">
        <v>2</v>
      </c>
      <c r="G29" s="29" t="s">
        <v>16</v>
      </c>
      <c r="H29" s="29">
        <v>0.63936279923988815</v>
      </c>
      <c r="K29" s="19" t="s">
        <v>36</v>
      </c>
      <c r="L29" s="19" t="s">
        <v>37</v>
      </c>
    </row>
    <row r="30" spans="1:12" x14ac:dyDescent="0.35">
      <c r="A30" t="s">
        <v>1</v>
      </c>
      <c r="F30" s="19" t="s">
        <v>34</v>
      </c>
      <c r="K30" s="9">
        <v>0.01</v>
      </c>
      <c r="L30">
        <v>-0.74104747559318873</v>
      </c>
    </row>
    <row r="31" spans="1:12" x14ac:dyDescent="0.35">
      <c r="A31" t="s">
        <v>2</v>
      </c>
      <c r="K31" s="9">
        <v>0.02</v>
      </c>
      <c r="L31">
        <v>-0.61339522017928871</v>
      </c>
    </row>
    <row r="32" spans="1:12" x14ac:dyDescent="0.35">
      <c r="A32" t="s">
        <v>3</v>
      </c>
      <c r="F32" s="8"/>
      <c r="K32" s="9">
        <v>0.03</v>
      </c>
      <c r="L32">
        <v>-0.45350025779303471</v>
      </c>
    </row>
    <row r="33" spans="1:12" x14ac:dyDescent="0.35">
      <c r="K33" s="9">
        <v>0.04</v>
      </c>
      <c r="L33">
        <v>-0.32476682571329074</v>
      </c>
    </row>
    <row r="34" spans="1:12" x14ac:dyDescent="0.35">
      <c r="A34" s="1" t="s">
        <v>5</v>
      </c>
      <c r="K34" s="9">
        <v>0.05</v>
      </c>
      <c r="L34">
        <v>-0.23011773907626387</v>
      </c>
    </row>
    <row r="35" spans="1:12" x14ac:dyDescent="0.35">
      <c r="A35" t="s">
        <v>17</v>
      </c>
      <c r="B35" s="5">
        <v>0.01</v>
      </c>
      <c r="C35" s="3" t="s">
        <v>19</v>
      </c>
      <c r="D35" s="5">
        <v>0.19</v>
      </c>
      <c r="K35" s="9">
        <v>6.0000000000000005E-2</v>
      </c>
      <c r="L35">
        <v>-0.16062154753063562</v>
      </c>
    </row>
    <row r="36" spans="1:12" x14ac:dyDescent="0.35">
      <c r="A36" t="s">
        <v>18</v>
      </c>
      <c r="B36" s="5">
        <v>0.3</v>
      </c>
      <c r="C36" s="3" t="s">
        <v>20</v>
      </c>
      <c r="D36" s="5">
        <v>0.2</v>
      </c>
      <c r="K36" s="9">
        <v>6.9999999999999993E-2</v>
      </c>
      <c r="L36">
        <v>-0.10861945427905506</v>
      </c>
    </row>
    <row r="37" spans="1:12" x14ac:dyDescent="0.35">
      <c r="A37" t="s">
        <v>4</v>
      </c>
      <c r="B37" s="5">
        <v>0.2</v>
      </c>
      <c r="C37" s="3"/>
      <c r="K37" s="9">
        <v>0.08</v>
      </c>
      <c r="L37">
        <v>-6.8869075430115556E-2</v>
      </c>
    </row>
    <row r="38" spans="1:12" x14ac:dyDescent="0.35">
      <c r="K38" s="9">
        <v>0.09</v>
      </c>
      <c r="L38">
        <v>-3.7896678247076876E-2</v>
      </c>
    </row>
    <row r="39" spans="1:12" ht="15" thickBot="1" x14ac:dyDescent="0.4">
      <c r="A39" s="1" t="s">
        <v>7</v>
      </c>
      <c r="F39" s="1" t="s">
        <v>35</v>
      </c>
      <c r="K39" s="9">
        <v>9.9999999999999992E-2</v>
      </c>
      <c r="L39">
        <v>-1.337474209352929E-2</v>
      </c>
    </row>
    <row r="40" spans="1:12" ht="14.5" customHeight="1" x14ac:dyDescent="0.35">
      <c r="A40" t="s">
        <v>8</v>
      </c>
      <c r="B40" s="5">
        <v>5.0000000000000001E-3</v>
      </c>
      <c r="F40" s="20" t="s">
        <v>38</v>
      </c>
      <c r="G40" s="21"/>
      <c r="H40" s="21"/>
      <c r="I40" s="21"/>
      <c r="J40" s="22"/>
      <c r="K40" s="9">
        <v>0.11</v>
      </c>
      <c r="L40">
        <v>6.2920394561800652E-3</v>
      </c>
    </row>
    <row r="41" spans="1:12" x14ac:dyDescent="0.35">
      <c r="A41" t="s">
        <v>9</v>
      </c>
      <c r="B41" s="5">
        <v>0.04</v>
      </c>
      <c r="F41" s="23"/>
      <c r="G41" s="24"/>
      <c r="H41" s="24"/>
      <c r="I41" s="24"/>
      <c r="J41" s="25"/>
      <c r="K41" s="9">
        <v>0.12</v>
      </c>
      <c r="L41">
        <v>2.2224570189602888E-2</v>
      </c>
    </row>
    <row r="42" spans="1:12" x14ac:dyDescent="0.35">
      <c r="A42" t="s">
        <v>24</v>
      </c>
      <c r="B42" s="5">
        <v>120</v>
      </c>
      <c r="F42" s="23"/>
      <c r="G42" s="24"/>
      <c r="H42" s="24"/>
      <c r="I42" s="24"/>
      <c r="J42" s="25"/>
      <c r="K42" s="9">
        <v>0.13</v>
      </c>
      <c r="L42">
        <v>3.5229425009350779E-2</v>
      </c>
    </row>
    <row r="43" spans="1:12" x14ac:dyDescent="0.35">
      <c r="A43" t="s">
        <v>25</v>
      </c>
      <c r="B43" s="5">
        <v>118</v>
      </c>
      <c r="F43" s="23"/>
      <c r="G43" s="24"/>
      <c r="H43" s="24"/>
      <c r="I43" s="24"/>
      <c r="J43" s="25"/>
      <c r="K43" s="9">
        <v>0.14000000000000001</v>
      </c>
      <c r="L43">
        <v>4.5899849598515674E-2</v>
      </c>
    </row>
    <row r="44" spans="1:12" x14ac:dyDescent="0.35">
      <c r="A44" t="s">
        <v>26</v>
      </c>
      <c r="B44" s="5">
        <v>122</v>
      </c>
      <c r="F44" s="23"/>
      <c r="G44" s="24"/>
      <c r="H44" s="24"/>
      <c r="I44" s="24"/>
      <c r="J44" s="25"/>
      <c r="K44" s="9">
        <v>0.15000000000000002</v>
      </c>
      <c r="L44">
        <v>5.4680903530477609E-2</v>
      </c>
    </row>
    <row r="45" spans="1:12" x14ac:dyDescent="0.35">
      <c r="A45" t="s">
        <v>21</v>
      </c>
      <c r="B45" s="5">
        <f>92/365</f>
        <v>0.25205479452054796</v>
      </c>
      <c r="F45" s="23"/>
      <c r="G45" s="24"/>
      <c r="H45" s="24"/>
      <c r="I45" s="24"/>
      <c r="J45" s="25"/>
      <c r="K45" s="9">
        <v>0.16</v>
      </c>
      <c r="L45">
        <v>6.1912460589478302E-2</v>
      </c>
    </row>
    <row r="46" spans="1:12" x14ac:dyDescent="0.35">
      <c r="A46" s="4" t="s">
        <v>23</v>
      </c>
      <c r="B46" s="5">
        <v>1.7</v>
      </c>
      <c r="F46" s="23"/>
      <c r="G46" s="24"/>
      <c r="H46" s="24"/>
      <c r="I46" s="24"/>
      <c r="J46" s="25"/>
      <c r="K46" s="9">
        <v>0.17</v>
      </c>
      <c r="L46">
        <v>6.7858238035330531E-2</v>
      </c>
    </row>
    <row r="47" spans="1:12" ht="15" thickBot="1" x14ac:dyDescent="0.4">
      <c r="F47" s="26"/>
      <c r="G47" s="27"/>
      <c r="H47" s="27"/>
      <c r="I47" s="27"/>
      <c r="J47" s="28"/>
      <c r="K47" s="9">
        <v>0.18000000000000002</v>
      </c>
      <c r="L47">
        <v>7.2725812072835128E-2</v>
      </c>
    </row>
    <row r="48" spans="1:12" x14ac:dyDescent="0.35">
      <c r="K48" s="9">
        <v>0.19</v>
      </c>
      <c r="L48">
        <v>7.6680690421898179E-2</v>
      </c>
    </row>
    <row r="49" spans="11:12" x14ac:dyDescent="0.35">
      <c r="K49" s="9">
        <v>0.2</v>
      </c>
      <c r="L49">
        <v>7.9856385602535385E-2</v>
      </c>
    </row>
    <row r="50" spans="11:12" x14ac:dyDescent="0.35">
      <c r="K50" s="9">
        <v>0.21000000000000002</v>
      </c>
      <c r="L50">
        <v>8.2361745024978505E-2</v>
      </c>
    </row>
    <row r="51" spans="11:12" x14ac:dyDescent="0.35">
      <c r="K51" s="9">
        <v>0.22</v>
      </c>
      <c r="L51">
        <v>8.4286365901493854E-2</v>
      </c>
    </row>
    <row r="52" spans="11:12" x14ac:dyDescent="0.35">
      <c r="K52" s="9">
        <v>0.23</v>
      </c>
      <c r="L52">
        <v>8.5704651047311176E-2</v>
      </c>
    </row>
    <row r="53" spans="11:12" x14ac:dyDescent="0.35">
      <c r="K53" s="9">
        <v>0.24000000000000002</v>
      </c>
      <c r="L53">
        <v>8.6678885533902461E-2</v>
      </c>
    </row>
    <row r="54" spans="11:12" x14ac:dyDescent="0.35">
      <c r="K54" s="9">
        <v>0.25</v>
      </c>
      <c r="L54">
        <v>8.7261598039663157E-2</v>
      </c>
    </row>
    <row r="55" spans="11:12" x14ac:dyDescent="0.35">
      <c r="K55" s="9">
        <v>0.26</v>
      </c>
      <c r="L55">
        <v>8.7497392872886381E-2</v>
      </c>
    </row>
    <row r="56" spans="11:12" x14ac:dyDescent="0.35">
      <c r="K56" s="9">
        <v>0.27</v>
      </c>
      <c r="L56">
        <v>8.7424385588764197E-2</v>
      </c>
    </row>
    <row r="57" spans="11:12" x14ac:dyDescent="0.35">
      <c r="K57" s="9">
        <v>0.28000000000000003</v>
      </c>
      <c r="L57">
        <v>8.7075338438178607E-2</v>
      </c>
    </row>
    <row r="58" spans="11:12" x14ac:dyDescent="0.35">
      <c r="K58" s="9">
        <v>0.29000000000000004</v>
      </c>
      <c r="L58">
        <v>8.6478566171133808E-2</v>
      </c>
    </row>
    <row r="59" spans="11:12" x14ac:dyDescent="0.35">
      <c r="K59" s="9">
        <v>0.3</v>
      </c>
      <c r="L59">
        <v>8.5658664455162681E-2</v>
      </c>
    </row>
    <row r="60" spans="11:12" x14ac:dyDescent="0.35">
      <c r="K60" s="9">
        <v>0.31</v>
      </c>
      <c r="L60">
        <v>8.4637100044605562E-2</v>
      </c>
    </row>
    <row r="61" spans="11:12" x14ac:dyDescent="0.35">
      <c r="K61" s="9">
        <v>0.32</v>
      </c>
      <c r="L61">
        <v>8.343269229664263E-2</v>
      </c>
    </row>
    <row r="62" spans="11:12" x14ac:dyDescent="0.35">
      <c r="K62" s="9">
        <v>0.33</v>
      </c>
      <c r="L62">
        <v>8.2062008621743177E-2</v>
      </c>
    </row>
    <row r="63" spans="11:12" x14ac:dyDescent="0.35">
      <c r="K63" s="9">
        <v>0.34</v>
      </c>
      <c r="L63">
        <v>8.0539691256919399E-2</v>
      </c>
    </row>
    <row r="64" spans="11:12" x14ac:dyDescent="0.35">
      <c r="K64" s="9">
        <v>0.35000000000000003</v>
      </c>
      <c r="L64">
        <v>7.8878728856383917E-2</v>
      </c>
    </row>
    <row r="65" spans="11:12" x14ac:dyDescent="0.35">
      <c r="K65" s="9">
        <v>0.36000000000000004</v>
      </c>
      <c r="L65">
        <v>7.7090683452982534E-2</v>
      </c>
    </row>
    <row r="66" spans="11:12" x14ac:dyDescent="0.35">
      <c r="K66" s="9">
        <v>0.37</v>
      </c>
      <c r="L66">
        <v>7.5185881102252994E-2</v>
      </c>
    </row>
    <row r="67" spans="11:12" x14ac:dyDescent="0.35">
      <c r="K67" s="9">
        <v>0.38</v>
      </c>
      <c r="L67">
        <v>7.3173572801653153E-2</v>
      </c>
    </row>
    <row r="68" spans="11:12" x14ac:dyDescent="0.35">
      <c r="K68" s="9">
        <v>0.39</v>
      </c>
      <c r="L68">
        <v>7.1062070945866695E-2</v>
      </c>
    </row>
    <row r="69" spans="11:12" x14ac:dyDescent="0.35">
      <c r="K69" s="9">
        <v>0.4</v>
      </c>
      <c r="L69">
        <v>6.8858865543720116E-2</v>
      </c>
    </row>
    <row r="70" spans="11:12" x14ac:dyDescent="0.35">
      <c r="K70" s="9">
        <v>0.41000000000000003</v>
      </c>
      <c r="L70">
        <v>6.6570723608417426E-2</v>
      </c>
    </row>
    <row r="71" spans="11:12" x14ac:dyDescent="0.35">
      <c r="K71" s="9">
        <v>0.42000000000000004</v>
      </c>
      <c r="L71">
        <v>6.420377449313297E-2</v>
      </c>
    </row>
    <row r="72" spans="11:12" x14ac:dyDescent="0.35">
      <c r="K72" s="9">
        <v>0.43</v>
      </c>
      <c r="L72">
        <v>6.176358343382593E-2</v>
      </c>
    </row>
    <row r="73" spans="11:12" x14ac:dyDescent="0.35">
      <c r="K73" s="9">
        <v>0.44</v>
      </c>
      <c r="L73">
        <v>5.925521515527099E-2</v>
      </c>
    </row>
    <row r="74" spans="11:12" x14ac:dyDescent="0.35">
      <c r="K74" s="9">
        <v>0.45</v>
      </c>
      <c r="L74">
        <v>5.6683289070849741E-2</v>
      </c>
    </row>
    <row r="75" spans="11:12" x14ac:dyDescent="0.35">
      <c r="K75" s="9">
        <v>0.46</v>
      </c>
      <c r="L75">
        <v>5.4052027342027076E-2</v>
      </c>
    </row>
    <row r="76" spans="11:12" x14ac:dyDescent="0.35">
      <c r="K76" s="9">
        <v>0.47000000000000003</v>
      </c>
      <c r="L76">
        <v>5.1365296851787479E-2</v>
      </c>
    </row>
    <row r="77" spans="11:12" x14ac:dyDescent="0.35">
      <c r="K77" s="9">
        <v>0.48000000000000004</v>
      </c>
      <c r="L77">
        <v>4.8626645971477034E-2</v>
      </c>
    </row>
    <row r="78" spans="11:12" x14ac:dyDescent="0.35">
      <c r="K78" s="9">
        <v>0.49</v>
      </c>
      <c r="L78">
        <v>4.5839336858324531E-2</v>
      </c>
    </row>
    <row r="79" spans="11:12" x14ac:dyDescent="0.35">
      <c r="K79" s="9">
        <v>0.5</v>
      </c>
      <c r="L79">
        <v>4.3006373904584949E-2</v>
      </c>
    </row>
    <row r="80" spans="11:12" x14ac:dyDescent="0.35">
      <c r="K80" s="9">
        <v>0.51</v>
      </c>
      <c r="L80">
        <v>4.0130528862039272E-2</v>
      </c>
    </row>
    <row r="81" spans="11:12" x14ac:dyDescent="0.35">
      <c r="K81" s="9">
        <v>0.52</v>
      </c>
      <c r="L81">
        <v>3.7214363086366165E-2</v>
      </c>
    </row>
    <row r="82" spans="11:12" x14ac:dyDescent="0.35">
      <c r="K82" s="9">
        <v>0.53</v>
      </c>
      <c r="L82">
        <v>3.4260247278783185E-2</v>
      </c>
    </row>
    <row r="83" spans="11:12" x14ac:dyDescent="0.35">
      <c r="K83" s="9">
        <v>0.54</v>
      </c>
      <c r="L83">
        <v>3.1270379047316554E-2</v>
      </c>
    </row>
    <row r="84" spans="11:12" x14ac:dyDescent="0.35">
      <c r="K84" s="9">
        <v>0.55000000000000004</v>
      </c>
      <c r="L84">
        <v>2.8246798563269282E-2</v>
      </c>
    </row>
    <row r="85" spans="11:12" x14ac:dyDescent="0.35">
      <c r="K85" s="9">
        <v>0.56000000000000005</v>
      </c>
      <c r="L85">
        <v>2.519140254933494E-2</v>
      </c>
    </row>
    <row r="86" spans="11:12" x14ac:dyDescent="0.35">
      <c r="K86" s="9">
        <v>0.57000000000000006</v>
      </c>
      <c r="L86">
        <v>2.2105956803282867E-2</v>
      </c>
    </row>
    <row r="87" spans="11:12" x14ac:dyDescent="0.35">
      <c r="K87" s="9">
        <v>0.58000000000000007</v>
      </c>
      <c r="L87">
        <v>1.8992107432654892E-2</v>
      </c>
    </row>
    <row r="88" spans="11:12" x14ac:dyDescent="0.35">
      <c r="K88" s="9">
        <v>0.59</v>
      </c>
      <c r="L88">
        <v>1.5851390952494215E-2</v>
      </c>
    </row>
    <row r="89" spans="11:12" x14ac:dyDescent="0.35">
      <c r="K89" s="9">
        <v>0.6</v>
      </c>
      <c r="L89">
        <v>1.2685243378331323E-2</v>
      </c>
    </row>
    <row r="90" spans="11:12" x14ac:dyDescent="0.35">
      <c r="K90" s="9">
        <v>0.61</v>
      </c>
      <c r="L90">
        <v>9.4950084286040681E-3</v>
      </c>
    </row>
    <row r="91" spans="11:12" x14ac:dyDescent="0.35">
      <c r="K91" s="9">
        <v>0.62</v>
      </c>
      <c r="L91">
        <v>6.2819449370608016E-3</v>
      </c>
    </row>
    <row r="92" spans="11:12" x14ac:dyDescent="0.35">
      <c r="K92" s="9">
        <v>0.63</v>
      </c>
      <c r="L92">
        <v>3.0472335622022673E-3</v>
      </c>
    </row>
    <row r="93" spans="11:12" x14ac:dyDescent="0.35">
      <c r="K93" s="9">
        <v>0.64</v>
      </c>
      <c r="L93">
        <v>-2.0801712988993692E-4</v>
      </c>
    </row>
    <row r="94" spans="11:12" x14ac:dyDescent="0.35">
      <c r="K94" s="9">
        <v>0.65</v>
      </c>
      <c r="L94">
        <v>-3.4827651416307059E-3</v>
      </c>
    </row>
    <row r="95" spans="11:12" x14ac:dyDescent="0.35">
      <c r="K95" s="9">
        <v>0.66</v>
      </c>
      <c r="L95">
        <v>-6.7760300205292889E-3</v>
      </c>
    </row>
    <row r="96" spans="11:12" x14ac:dyDescent="0.35">
      <c r="K96" s="9">
        <v>0.67</v>
      </c>
      <c r="L96">
        <v>-1.0086888283812767E-2</v>
      </c>
    </row>
    <row r="97" spans="11:12" x14ac:dyDescent="0.35">
      <c r="K97" s="9">
        <v>0.68</v>
      </c>
      <c r="L97">
        <v>-1.3414469245351723E-2</v>
      </c>
    </row>
    <row r="98" spans="11:12" x14ac:dyDescent="0.35">
      <c r="K98" s="9">
        <v>0.69000000000000006</v>
      </c>
      <c r="L98">
        <v>-1.6757951204152688E-2</v>
      </c>
    </row>
    <row r="99" spans="11:12" x14ac:dyDescent="0.35">
      <c r="K99" s="9">
        <v>0.70000000000000007</v>
      </c>
      <c r="L99">
        <v>-2.0116557958463899E-2</v>
      </c>
    </row>
    <row r="100" spans="11:12" x14ac:dyDescent="0.35">
      <c r="K100" s="9">
        <v>0.71000000000000008</v>
      </c>
      <c r="L100">
        <v>-2.3489555613512847E-2</v>
      </c>
    </row>
    <row r="101" spans="11:12" x14ac:dyDescent="0.35">
      <c r="K101" s="9">
        <v>0.72</v>
      </c>
      <c r="L101">
        <v>-2.6876249654418372E-2</v>
      </c>
    </row>
    <row r="102" spans="11:12" x14ac:dyDescent="0.35">
      <c r="K102" s="9">
        <v>0.73</v>
      </c>
      <c r="L102">
        <v>-3.027598225895356E-2</v>
      </c>
    </row>
    <row r="103" spans="11:12" x14ac:dyDescent="0.35">
      <c r="K103" s="9">
        <v>0.74</v>
      </c>
      <c r="L103">
        <v>-3.3688129827535773E-2</v>
      </c>
    </row>
    <row r="104" spans="11:12" x14ac:dyDescent="0.35">
      <c r="K104" s="9">
        <v>0.75</v>
      </c>
      <c r="L104">
        <v>-3.7112100710136486E-2</v>
      </c>
    </row>
    <row r="105" spans="11:12" x14ac:dyDescent="0.35">
      <c r="K105" s="9">
        <v>0.76</v>
      </c>
      <c r="L105">
        <v>-4.054733311247527E-2</v>
      </c>
    </row>
    <row r="106" spans="11:12" x14ac:dyDescent="0.35">
      <c r="K106" s="9">
        <v>0.77</v>
      </c>
      <c r="L106">
        <v>-4.3993293164579894E-2</v>
      </c>
    </row>
    <row r="107" spans="11:12" x14ac:dyDescent="0.35">
      <c r="K107" s="9">
        <v>0.78</v>
      </c>
      <c r="L107">
        <v>-4.7449473137622489E-2</v>
      </c>
    </row>
    <row r="108" spans="11:12" x14ac:dyDescent="0.35">
      <c r="K108" s="9">
        <v>0.79</v>
      </c>
      <c r="L108">
        <v>-5.0915389796114097E-2</v>
      </c>
    </row>
    <row r="109" spans="11:12" x14ac:dyDescent="0.35">
      <c r="K109" s="9">
        <v>0.8</v>
      </c>
      <c r="L109">
        <v>-5.4390582872916537E-2</v>
      </c>
    </row>
    <row r="110" spans="11:12" x14ac:dyDescent="0.35">
      <c r="K110" s="9">
        <v>0.81</v>
      </c>
      <c r="L110">
        <v>-5.7874613657429519E-2</v>
      </c>
    </row>
    <row r="111" spans="11:12" x14ac:dyDescent="0.35">
      <c r="K111" s="9">
        <v>0.82000000000000006</v>
      </c>
      <c r="L111">
        <v>-6.1367063686444068E-2</v>
      </c>
    </row>
    <row r="112" spans="11:12" x14ac:dyDescent="0.35">
      <c r="K112" s="9">
        <v>0.83000000000000007</v>
      </c>
      <c r="L112">
        <v>-6.4867533529789467E-2</v>
      </c>
    </row>
    <row r="113" spans="11:12" x14ac:dyDescent="0.35">
      <c r="K113" s="9">
        <v>0.84000000000000008</v>
      </c>
      <c r="L113">
        <v>-6.8375641662161923E-2</v>
      </c>
    </row>
    <row r="114" spans="11:12" x14ac:dyDescent="0.35">
      <c r="K114" s="9">
        <v>0.85</v>
      </c>
      <c r="L114">
        <v>-7.189102341491771E-2</v>
      </c>
    </row>
    <row r="115" spans="11:12" x14ac:dyDescent="0.35">
      <c r="K115" s="9">
        <v>0.86</v>
      </c>
      <c r="L115">
        <v>-7.5413330000270618E-2</v>
      </c>
    </row>
    <row r="116" spans="11:12" x14ac:dyDescent="0.35">
      <c r="K116" s="9">
        <v>0.87</v>
      </c>
      <c r="L116">
        <v>-7.8942227603204129E-2</v>
      </c>
    </row>
    <row r="117" spans="11:12" x14ac:dyDescent="0.35">
      <c r="K117" s="9">
        <v>0.88</v>
      </c>
      <c r="L117">
        <v>-8.2477396534831326E-2</v>
      </c>
    </row>
    <row r="118" spans="11:12" x14ac:dyDescent="0.35">
      <c r="K118" s="9">
        <v>0.89</v>
      </c>
      <c r="L118">
        <v>-8.6018530442861119E-2</v>
      </c>
    </row>
    <row r="119" spans="11:12" x14ac:dyDescent="0.35">
      <c r="K119" s="9">
        <v>0.9</v>
      </c>
      <c r="L119">
        <v>-8.9565335574694371E-2</v>
      </c>
    </row>
    <row r="120" spans="11:12" x14ac:dyDescent="0.35">
      <c r="K120" s="9">
        <v>0.91</v>
      </c>
      <c r="L120">
        <v>-9.3117530088922207E-2</v>
      </c>
    </row>
    <row r="121" spans="11:12" x14ac:dyDescent="0.35">
      <c r="K121" s="9">
        <v>0.92</v>
      </c>
      <c r="L121">
        <v>-9.6674843411602707E-2</v>
      </c>
    </row>
    <row r="122" spans="11:12" x14ac:dyDescent="0.35">
      <c r="K122" s="9">
        <v>0.93</v>
      </c>
      <c r="L122">
        <v>-0.10023701563423937</v>
      </c>
    </row>
    <row r="123" spans="11:12" x14ac:dyDescent="0.35">
      <c r="K123" s="9">
        <v>0.94000000000000006</v>
      </c>
      <c r="L123">
        <v>-0.10380379694997965</v>
      </c>
    </row>
    <row r="124" spans="11:12" x14ac:dyDescent="0.35">
      <c r="K124" s="9">
        <v>0.95000000000000007</v>
      </c>
      <c r="L124">
        <v>-0.10737494712532647</v>
      </c>
    </row>
    <row r="125" spans="11:12" x14ac:dyDescent="0.35">
      <c r="K125" s="9">
        <v>0.96000000000000008</v>
      </c>
      <c r="L125">
        <v>-0.11095023500497514</v>
      </c>
    </row>
    <row r="126" spans="11:12" x14ac:dyDescent="0.35">
      <c r="K126" s="9">
        <v>0.97</v>
      </c>
      <c r="L126">
        <v>-0.1145294380471682</v>
      </c>
    </row>
    <row r="127" spans="11:12" x14ac:dyDescent="0.35">
      <c r="K127" s="9">
        <v>0.98</v>
      </c>
      <c r="L127">
        <v>-0.11811234188748609</v>
      </c>
    </row>
    <row r="128" spans="11:12" x14ac:dyDescent="0.35">
      <c r="K128" s="9">
        <v>0.99</v>
      </c>
      <c r="L128">
        <v>-0.12169873992906299</v>
      </c>
    </row>
    <row r="129" spans="11:12" x14ac:dyDescent="0.35">
      <c r="K129" s="9">
        <v>1</v>
      </c>
      <c r="L129">
        <v>-0.12528843295738024</v>
      </c>
    </row>
  </sheetData>
  <mergeCells count="2">
    <mergeCell ref="F14:I19"/>
    <mergeCell ref="F40:J4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1</xdr:col>
                    <xdr:colOff>0</xdr:colOff>
                    <xdr:row>3</xdr:row>
                    <xdr:rowOff>6350</xdr:rowOff>
                  </from>
                  <to>
                    <xdr:col>2</xdr:col>
                    <xdr:colOff>533400</xdr:colOff>
                    <xdr:row>4</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Solve">
                <anchor moveWithCells="1" sizeWithCells="1">
                  <from>
                    <xdr:col>0</xdr:col>
                    <xdr:colOff>0</xdr:colOff>
                    <xdr:row>20</xdr:row>
                    <xdr:rowOff>114300</xdr:rowOff>
                  </from>
                  <to>
                    <xdr:col>0</xdr:col>
                    <xdr:colOff>1041400</xdr:colOff>
                    <xdr:row>22</xdr:row>
                    <xdr:rowOff>50800</xdr:rowOff>
                  </to>
                </anchor>
              </controlPr>
            </control>
          </mc:Choice>
        </mc:AlternateContent>
        <mc:AlternateContent xmlns:mc="http://schemas.openxmlformats.org/markup-compatibility/2006">
          <mc:Choice Requires="x14">
            <control shapeId="1027" r:id="rId6" name="Drop Down 3">
              <controlPr defaultSize="0" autoLine="0" autoPict="0">
                <anchor moveWithCells="1">
                  <from>
                    <xdr:col>0</xdr:col>
                    <xdr:colOff>1905000</xdr:colOff>
                    <xdr:row>29</xdr:row>
                    <xdr:rowOff>0</xdr:rowOff>
                  </from>
                  <to>
                    <xdr:col>2</xdr:col>
                    <xdr:colOff>508000</xdr:colOff>
                    <xdr:row>30</xdr:row>
                    <xdr:rowOff>25400</xdr:rowOff>
                  </to>
                </anchor>
              </controlPr>
            </control>
          </mc:Choice>
        </mc:AlternateContent>
        <mc:AlternateContent xmlns:mc="http://schemas.openxmlformats.org/markup-compatibility/2006">
          <mc:Choice Requires="x14">
            <control shapeId="1029" r:id="rId7" name="Button 5">
              <controlPr defaultSize="0" print="0" autoFill="0" autoPict="0" macro="[0]!solve_bull">
                <anchor moveWithCells="1">
                  <from>
                    <xdr:col>0</xdr:col>
                    <xdr:colOff>12700</xdr:colOff>
                    <xdr:row>47</xdr:row>
                    <xdr:rowOff>63500</xdr:rowOff>
                  </from>
                  <to>
                    <xdr:col>0</xdr:col>
                    <xdr:colOff>1073150</xdr:colOff>
                    <xdr:row>49</xdr:row>
                    <xdr:rowOff>31750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Rene huang</dc:creator>
  <cp:lastModifiedBy>Rene huang</cp:lastModifiedBy>
  <dcterms:created xsi:type="dcterms:W3CDTF">2017-04-03T18:05:27Z</dcterms:created>
  <dcterms:modified xsi:type="dcterms:W3CDTF">2017-04-10T15:57:43Z</dcterms:modified>
</cp:coreProperties>
</file>