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lumbia 17spring\numerical\hw\"/>
    </mc:Choice>
  </mc:AlternateContent>
  <bookViews>
    <workbookView xWindow="0" yWindow="0" windowWidth="16180" windowHeight="679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B9" i="1" l="1"/>
</calcChain>
</file>

<file path=xl/sharedStrings.xml><?xml version="1.0" encoding="utf-8"?>
<sst xmlns="http://schemas.openxmlformats.org/spreadsheetml/2006/main" count="25" uniqueCount="24">
  <si>
    <t>User input</t>
  </si>
  <si>
    <t>spot price</t>
  </si>
  <si>
    <t>domestic interest rate</t>
  </si>
  <si>
    <t>foreign interest rate</t>
  </si>
  <si>
    <t>volatility</t>
  </si>
  <si>
    <t>strike</t>
  </si>
  <si>
    <t>today's date</t>
  </si>
  <si>
    <t xml:space="preserve">expiration date </t>
  </si>
  <si>
    <t>Value</t>
  </si>
  <si>
    <t>Delta</t>
  </si>
  <si>
    <t>Gamma</t>
  </si>
  <si>
    <t>Vega</t>
  </si>
  <si>
    <t>Theta</t>
  </si>
  <si>
    <t>Phi</t>
  </si>
  <si>
    <t>Rho</t>
  </si>
  <si>
    <t>Starting spot</t>
  </si>
  <si>
    <t>End spot</t>
  </si>
  <si>
    <t>Spots</t>
  </si>
  <si>
    <t>Time to Maturity</t>
  </si>
  <si>
    <t>Nth Greek Letter:</t>
  </si>
  <si>
    <t>Plot Parameters</t>
  </si>
  <si>
    <t>number of steps</t>
  </si>
  <si>
    <t>Output</t>
  </si>
  <si>
    <t>* for the theta calculation, I just simply take the derivative respect to t. I did not divide it by T to get the daily theta.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</si>
</sst>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2" borderId="0" xfId="0" applyFill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1" xfId="0" applyFill="1" applyBorder="1"/>
    <xf numFmtId="0" fontId="0" fillId="0" borderId="3" xfId="0" applyFill="1" applyBorder="1"/>
    <xf numFmtId="0" fontId="0" fillId="0" borderId="5" xfId="0" applyFill="1" applyBorder="1"/>
    <xf numFmtId="14" fontId="0" fillId="0" borderId="4" xfId="0" applyNumberFormat="1" applyBorder="1"/>
    <xf numFmtId="0" fontId="0" fillId="0" borderId="6" xfId="0" applyNumberFormat="1" applyBorder="1"/>
    <xf numFmtId="0" fontId="2" fillId="0" borderId="0" xfId="0" applyFont="1" applyBorder="1"/>
    <xf numFmtId="0" fontId="0" fillId="0" borderId="2" xfId="0" applyNumberFormat="1" applyBorder="1"/>
    <xf numFmtId="0" fontId="0" fillId="0" borderId="4" xfId="0" applyNumberFormat="1" applyBorder="1"/>
    <xf numFmtId="0" fontId="0" fillId="2" borderId="3" xfId="0" applyFill="1" applyBorder="1"/>
    <xf numFmtId="0" fontId="0" fillId="2" borderId="0" xfId="0" applyFill="1" applyBorder="1"/>
    <xf numFmtId="0" fontId="3" fillId="0" borderId="3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Sheet1!$J$1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Sheet1!$I$1:$I$102</c:f>
              <c:strCache>
                <c:ptCount val="102"/>
                <c:pt idx="0">
                  <c:v>Spots</c:v>
                </c:pt>
                <c:pt idx="1">
                  <c:v>100</c:v>
                </c:pt>
                <c:pt idx="2">
                  <c:v>100.5</c:v>
                </c:pt>
                <c:pt idx="3">
                  <c:v>101</c:v>
                </c:pt>
                <c:pt idx="4">
                  <c:v>101.5</c:v>
                </c:pt>
                <c:pt idx="5">
                  <c:v>102</c:v>
                </c:pt>
                <c:pt idx="6">
                  <c:v>102.5</c:v>
                </c:pt>
                <c:pt idx="7">
                  <c:v>103</c:v>
                </c:pt>
                <c:pt idx="8">
                  <c:v>103.5</c:v>
                </c:pt>
                <c:pt idx="9">
                  <c:v>104</c:v>
                </c:pt>
                <c:pt idx="10">
                  <c:v>104.5</c:v>
                </c:pt>
                <c:pt idx="11">
                  <c:v>105</c:v>
                </c:pt>
                <c:pt idx="12">
                  <c:v>105.5</c:v>
                </c:pt>
                <c:pt idx="13">
                  <c:v>106</c:v>
                </c:pt>
                <c:pt idx="14">
                  <c:v>106.5</c:v>
                </c:pt>
                <c:pt idx="15">
                  <c:v>107</c:v>
                </c:pt>
                <c:pt idx="16">
                  <c:v>107.5</c:v>
                </c:pt>
                <c:pt idx="17">
                  <c:v>108</c:v>
                </c:pt>
                <c:pt idx="18">
                  <c:v>108.5</c:v>
                </c:pt>
                <c:pt idx="19">
                  <c:v>109</c:v>
                </c:pt>
                <c:pt idx="20">
                  <c:v>109.5</c:v>
                </c:pt>
                <c:pt idx="21">
                  <c:v>110</c:v>
                </c:pt>
                <c:pt idx="22">
                  <c:v>110.5</c:v>
                </c:pt>
                <c:pt idx="23">
                  <c:v>111</c:v>
                </c:pt>
                <c:pt idx="24">
                  <c:v>111.5</c:v>
                </c:pt>
                <c:pt idx="25">
                  <c:v>112</c:v>
                </c:pt>
                <c:pt idx="26">
                  <c:v>112.5</c:v>
                </c:pt>
                <c:pt idx="27">
                  <c:v>113</c:v>
                </c:pt>
                <c:pt idx="28">
                  <c:v>113.5</c:v>
                </c:pt>
                <c:pt idx="29">
                  <c:v>114</c:v>
                </c:pt>
                <c:pt idx="30">
                  <c:v>114.5</c:v>
                </c:pt>
                <c:pt idx="31">
                  <c:v>115</c:v>
                </c:pt>
                <c:pt idx="32">
                  <c:v>115.5</c:v>
                </c:pt>
                <c:pt idx="33">
                  <c:v>116</c:v>
                </c:pt>
                <c:pt idx="34">
                  <c:v>116.5</c:v>
                </c:pt>
                <c:pt idx="35">
                  <c:v>117</c:v>
                </c:pt>
                <c:pt idx="36">
                  <c:v>117.5</c:v>
                </c:pt>
                <c:pt idx="37">
                  <c:v>118</c:v>
                </c:pt>
                <c:pt idx="38">
                  <c:v>118.5</c:v>
                </c:pt>
                <c:pt idx="39">
                  <c:v>119</c:v>
                </c:pt>
                <c:pt idx="40">
                  <c:v>119.5</c:v>
                </c:pt>
                <c:pt idx="41">
                  <c:v>120</c:v>
                </c:pt>
                <c:pt idx="42">
                  <c:v>120.5</c:v>
                </c:pt>
                <c:pt idx="43">
                  <c:v>121</c:v>
                </c:pt>
                <c:pt idx="44">
                  <c:v>121.5</c:v>
                </c:pt>
                <c:pt idx="45">
                  <c:v>122</c:v>
                </c:pt>
                <c:pt idx="46">
                  <c:v>122.5</c:v>
                </c:pt>
                <c:pt idx="47">
                  <c:v>123</c:v>
                </c:pt>
                <c:pt idx="48">
                  <c:v>123.5</c:v>
                </c:pt>
                <c:pt idx="49">
                  <c:v>124</c:v>
                </c:pt>
                <c:pt idx="50">
                  <c:v>124.5</c:v>
                </c:pt>
                <c:pt idx="51">
                  <c:v>125</c:v>
                </c:pt>
                <c:pt idx="52">
                  <c:v>125.5</c:v>
                </c:pt>
                <c:pt idx="53">
                  <c:v>126</c:v>
                </c:pt>
                <c:pt idx="54">
                  <c:v>126.5</c:v>
                </c:pt>
                <c:pt idx="55">
                  <c:v>127</c:v>
                </c:pt>
                <c:pt idx="56">
                  <c:v>127.5</c:v>
                </c:pt>
                <c:pt idx="57">
                  <c:v>128</c:v>
                </c:pt>
                <c:pt idx="58">
                  <c:v>128.5</c:v>
                </c:pt>
                <c:pt idx="59">
                  <c:v>129</c:v>
                </c:pt>
                <c:pt idx="60">
                  <c:v>129.5</c:v>
                </c:pt>
                <c:pt idx="61">
                  <c:v>130</c:v>
                </c:pt>
                <c:pt idx="62">
                  <c:v>130.5</c:v>
                </c:pt>
                <c:pt idx="63">
                  <c:v>131</c:v>
                </c:pt>
                <c:pt idx="64">
                  <c:v>131.5</c:v>
                </c:pt>
                <c:pt idx="65">
                  <c:v>132</c:v>
                </c:pt>
                <c:pt idx="66">
                  <c:v>132.5</c:v>
                </c:pt>
                <c:pt idx="67">
                  <c:v>133</c:v>
                </c:pt>
                <c:pt idx="68">
                  <c:v>133.5</c:v>
                </c:pt>
                <c:pt idx="69">
                  <c:v>134</c:v>
                </c:pt>
                <c:pt idx="70">
                  <c:v>134.5</c:v>
                </c:pt>
                <c:pt idx="71">
                  <c:v>135</c:v>
                </c:pt>
                <c:pt idx="72">
                  <c:v>135.5</c:v>
                </c:pt>
                <c:pt idx="73">
                  <c:v>136</c:v>
                </c:pt>
                <c:pt idx="74">
                  <c:v>136.5</c:v>
                </c:pt>
                <c:pt idx="75">
                  <c:v>137</c:v>
                </c:pt>
                <c:pt idx="76">
                  <c:v>137.5</c:v>
                </c:pt>
                <c:pt idx="77">
                  <c:v>138</c:v>
                </c:pt>
                <c:pt idx="78">
                  <c:v>138.5</c:v>
                </c:pt>
                <c:pt idx="79">
                  <c:v>139</c:v>
                </c:pt>
                <c:pt idx="80">
                  <c:v>139.5</c:v>
                </c:pt>
                <c:pt idx="81">
                  <c:v>140</c:v>
                </c:pt>
                <c:pt idx="82">
                  <c:v>140.5</c:v>
                </c:pt>
                <c:pt idx="83">
                  <c:v>141</c:v>
                </c:pt>
                <c:pt idx="84">
                  <c:v>141.5</c:v>
                </c:pt>
                <c:pt idx="85">
                  <c:v>142</c:v>
                </c:pt>
                <c:pt idx="86">
                  <c:v>142.5</c:v>
                </c:pt>
                <c:pt idx="87">
                  <c:v>143</c:v>
                </c:pt>
                <c:pt idx="88">
                  <c:v>143.5</c:v>
                </c:pt>
                <c:pt idx="89">
                  <c:v>144</c:v>
                </c:pt>
                <c:pt idx="90">
                  <c:v>144.5</c:v>
                </c:pt>
                <c:pt idx="91">
                  <c:v>145</c:v>
                </c:pt>
                <c:pt idx="92">
                  <c:v>145.5</c:v>
                </c:pt>
                <c:pt idx="93">
                  <c:v>146</c:v>
                </c:pt>
                <c:pt idx="94">
                  <c:v>146.5</c:v>
                </c:pt>
                <c:pt idx="95">
                  <c:v>147</c:v>
                </c:pt>
                <c:pt idx="96">
                  <c:v>147.5</c:v>
                </c:pt>
                <c:pt idx="97">
                  <c:v>148</c:v>
                </c:pt>
                <c:pt idx="98">
                  <c:v>148.5</c:v>
                </c:pt>
                <c:pt idx="99">
                  <c:v>149</c:v>
                </c:pt>
                <c:pt idx="100">
                  <c:v>149.5</c:v>
                </c:pt>
                <c:pt idx="101">
                  <c:v>150</c:v>
                </c:pt>
              </c:strCache>
            </c:strRef>
          </c:cat>
          <c:val>
            <c:numRef>
              <c:f>Sheet1!$J$2:$J$102</c:f>
              <c:numCache>
                <c:formatCode>General</c:formatCode>
                <c:ptCount val="101"/>
                <c:pt idx="0">
                  <c:v>-2.6288544552481218E-2</c:v>
                </c:pt>
                <c:pt idx="1">
                  <c:v>-3.3780646918703847E-2</c:v>
                </c:pt>
                <c:pt idx="2">
                  <c:v>-4.305457436662196E-2</c:v>
                </c:pt>
                <c:pt idx="3">
                  <c:v>-5.4433383244046098E-2</c:v>
                </c:pt>
                <c:pt idx="4">
                  <c:v>-6.8273099094423334E-2</c:v>
                </c:pt>
                <c:pt idx="5">
                  <c:v>-8.4960003244599958E-2</c:v>
                </c:pt>
                <c:pt idx="6">
                  <c:v>-0.10490619963531951</c:v>
                </c:pt>
                <c:pt idx="7">
                  <c:v>-0.12854327870600296</c:v>
                </c:pt>
                <c:pt idx="8">
                  <c:v>-0.15631394938381948</c:v>
                </c:pt>
                <c:pt idx="9">
                  <c:v>-0.18866158137081418</c:v>
                </c:pt>
                <c:pt idx="10">
                  <c:v>-0.22601768663081673</c:v>
                </c:pt>
                <c:pt idx="11">
                  <c:v>-0.26878746868288489</c:v>
                </c:pt>
                <c:pt idx="12">
                  <c:v>-0.31733367722195593</c:v>
                </c:pt>
                <c:pt idx="13">
                  <c:v>-0.37195911879993904</c:v>
                </c:pt>
                <c:pt idx="14">
                  <c:v>-0.43288828597599371</c:v>
                </c:pt>
                <c:pt idx="15">
                  <c:v>-0.50024867101054082</c:v>
                </c:pt>
                <c:pt idx="16">
                  <c:v>-0.5740524190918288</c:v>
                </c:pt>
                <c:pt idx="17">
                  <c:v>-0.65417904365955937</c:v>
                </c:pt>
                <c:pt idx="18">
                  <c:v>-0.74035996664881898</c:v>
                </c:pt>
                <c:pt idx="19">
                  <c:v>-0.83216565449842839</c:v>
                </c:pt>
                <c:pt idx="20">
                  <c:v>-0.9289960930975858</c:v>
                </c:pt>
                <c:pt idx="21">
                  <c:v>-1.0300752798348218</c:v>
                </c:pt>
                <c:pt idx="22">
                  <c:v>-1.1344503089536835</c:v>
                </c:pt>
                <c:pt idx="23">
                  <c:v>-1.2409954900457758</c:v>
                </c:pt>
                <c:pt idx="24">
                  <c:v>-1.3484217733721278</c:v>
                </c:pt>
                <c:pt idx="25">
                  <c:v>-1.4552915663808408</c:v>
                </c:pt>
                <c:pt idx="26">
                  <c:v>-1.5600388214856276</c:v>
                </c:pt>
                <c:pt idx="27">
                  <c:v>-1.6609940652758985</c:v>
                </c:pt>
                <c:pt idx="28">
                  <c:v>-1.7564138338973172</c:v>
                </c:pt>
                <c:pt idx="29">
                  <c:v>-1.8445137885088356</c:v>
                </c:pt>
                <c:pt idx="30">
                  <c:v>-1.9235046181127939</c:v>
                </c:pt>
                <c:pt idx="31">
                  <c:v>-1.9916297032123471</c:v>
                </c:pt>
                <c:pt idx="32">
                  <c:v>-2.0472034196304838</c:v>
                </c:pt>
                <c:pt idx="33">
                  <c:v>-2.0886489123887841</c:v>
                </c:pt>
                <c:pt idx="34">
                  <c:v>-2.1145341674756382</c:v>
                </c:pt>
                <c:pt idx="35">
                  <c:v>-2.1236052549006801</c:v>
                </c:pt>
                <c:pt idx="36">
                  <c:v>-2.1148157074946559</c:v>
                </c:pt>
                <c:pt idx="37">
                  <c:v>-2.0873511320781892</c:v>
                </c:pt>
                <c:pt idx="38">
                  <c:v>-2.0406483165272649</c:v>
                </c:pt>
                <c:pt idx="39">
                  <c:v>-1.9744082899700963</c:v>
                </c:pt>
                <c:pt idx="40">
                  <c:v>-1.8886030048197067</c:v>
                </c:pt>
                <c:pt idx="41">
                  <c:v>-1.7834755289543285</c:v>
                </c:pt>
                <c:pt idx="42">
                  <c:v>-1.6595338544252001</c:v>
                </c:pt>
                <c:pt idx="43">
                  <c:v>-1.5175386363732555</c:v>
                </c:pt>
                <c:pt idx="44">
                  <c:v>-1.3584853640572687</c:v>
                </c:pt>
                <c:pt idx="45">
                  <c:v>-1.18358162800974</c:v>
                </c:pt>
                <c:pt idx="46">
                  <c:v>-0.99422027789078937</c:v>
                </c:pt>
                <c:pt idx="47">
                  <c:v>-0.79194936090503942</c:v>
                </c:pt>
                <c:pt idx="48">
                  <c:v>-0.57843978880725944</c:v>
                </c:pt>
                <c:pt idx="49">
                  <c:v>-0.355451702467247</c:v>
                </c:pt>
                <c:pt idx="50">
                  <c:v>-0.12480048827422507</c:v>
                </c:pt>
                <c:pt idx="51">
                  <c:v>0.11167664662041776</c:v>
                </c:pt>
                <c:pt idx="52">
                  <c:v>0.35215270885935457</c:v>
                </c:pt>
                <c:pt idx="53">
                  <c:v>0.59484083073434491</c:v>
                </c:pt>
                <c:pt idx="54">
                  <c:v>0.83802144323266115</c:v>
                </c:pt>
                <c:pt idx="55">
                  <c:v>1.0800662221472397</c:v>
                </c:pt>
                <c:pt idx="56">
                  <c:v>1.3194584528006637</c:v>
                </c:pt>
                <c:pt idx="57">
                  <c:v>1.5548095927427585</c:v>
                </c:pt>
                <c:pt idx="58">
                  <c:v>1.7848719407017848</c:v>
                </c:pt>
                <c:pt idx="59">
                  <c:v>2.0085474397963514</c:v>
                </c:pt>
                <c:pt idx="60">
                  <c:v>2.2248927500777262</c:v>
                </c:pt>
                <c:pt idx="61">
                  <c:v>2.4331208172947321</c:v>
                </c:pt>
                <c:pt idx="62">
                  <c:v>2.6325992396854669</c:v>
                </c:pt>
                <c:pt idx="63">
                  <c:v>2.8228457918033554</c:v>
                </c:pt>
                <c:pt idx="64">
                  <c:v>3.003521503879707</c:v>
                </c:pt>
                <c:pt idx="65">
                  <c:v>3.1744217177117791</c:v>
                </c:pt>
                <c:pt idx="66">
                  <c:v>3.3354655468215055</c:v>
                </c:pt>
                <c:pt idx="67">
                  <c:v>3.4866841613816306</c:v>
                </c:pt>
                <c:pt idx="68">
                  <c:v>3.6282082991918116</c:v>
                </c:pt>
                <c:pt idx="69">
                  <c:v>3.7602553750302037</c:v>
                </c:pt>
                <c:pt idx="70">
                  <c:v>3.8831165242941479</c:v>
                </c:pt>
                <c:pt idx="71">
                  <c:v>3.9971438752251278</c:v>
                </c:pt>
                <c:pt idx="72">
                  <c:v>4.1027382993097632</c:v>
                </c:pt>
                <c:pt idx="73">
                  <c:v>4.2003378435870919</c:v>
                </c:pt>
                <c:pt idx="74">
                  <c:v>4.2904070032563242</c:v>
                </c:pt>
                <c:pt idx="75">
                  <c:v>4.3734269495776799</c:v>
                </c:pt>
                <c:pt idx="76">
                  <c:v>4.449886787714707</c:v>
                </c:pt>
                <c:pt idx="77">
                  <c:v>4.5202758827151008</c:v>
                </c:pt>
                <c:pt idx="78">
                  <c:v>4.5850772598331462</c:v>
                </c:pt>
                <c:pt idx="79">
                  <c:v>4.6447620581737068</c:v>
                </c:pt>
                <c:pt idx="80">
                  <c:v>4.699784994280173</c:v>
                </c:pt>
                <c:pt idx="81">
                  <c:v>4.750580774704301</c:v>
                </c:pt>
                <c:pt idx="82">
                  <c:v>4.7975613835422042</c:v>
                </c:pt>
                <c:pt idx="83">
                  <c:v>4.841114162040177</c:v>
                </c:pt>
                <c:pt idx="84">
                  <c:v>4.8816005922282963</c:v>
                </c:pt>
                <c:pt idx="85">
                  <c:v>4.9193556946401493</c:v>
                </c:pt>
                <c:pt idx="86">
                  <c:v>4.9546879510127342</c:v>
                </c:pt>
                <c:pt idx="87">
                  <c:v>4.9878796659210103</c:v>
                </c:pt>
                <c:pt idx="88">
                  <c:v>5.0191876860954068</c:v>
                </c:pt>
                <c:pt idx="89">
                  <c:v>5.0488444022402579</c:v>
                </c:pt>
                <c:pt idx="90">
                  <c:v>5.0770589651026334</c:v>
                </c:pt>
                <c:pt idx="91">
                  <c:v>5.1040186549710045</c:v>
                </c:pt>
                <c:pt idx="92">
                  <c:v>5.1298903514014205</c:v>
                </c:pt>
                <c:pt idx="93">
                  <c:v>5.1548220575195458</c:v>
                </c:pt>
                <c:pt idx="94">
                  <c:v>5.1789444405262657</c:v>
                </c:pt>
                <c:pt idx="95">
                  <c:v>5.2023723568879516</c:v>
                </c:pt>
                <c:pt idx="96">
                  <c:v>5.2252063370095341</c:v>
                </c:pt>
                <c:pt idx="97">
                  <c:v>5.2475340098981533</c:v>
                </c:pt>
                <c:pt idx="98">
                  <c:v>5.2694314533895641</c:v>
                </c:pt>
                <c:pt idx="99">
                  <c:v>5.2909644599188024</c:v>
                </c:pt>
                <c:pt idx="100">
                  <c:v>5.312189711583077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49-4526-A1B1-D67778948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599264"/>
        <c:axId val="434595656"/>
      </c:lineChart>
      <c:catAx>
        <c:axId val="43459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95656"/>
        <c:crosses val="autoZero"/>
        <c:auto val="1"/>
        <c:lblAlgn val="ctr"/>
        <c:lblOffset val="100"/>
        <c:noMultiLvlLbl val="0"/>
      </c:catAx>
      <c:valAx>
        <c:axId val="43459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99264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5" fmlaLink="$G$6" fmlaRange="$A$11:$A$17" noThreeD="1" sel="5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1054100</xdr:colOff>
          <xdr:row>6</xdr:row>
          <xdr:rowOff>95250</xdr:rowOff>
        </xdr:from>
        <xdr:to>
          <xdr:col>6</xdr:col>
          <xdr:colOff>654050</xdr:colOff>
          <xdr:row>8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19</xdr:row>
          <xdr:rowOff>152400</xdr:rowOff>
        </xdr:from>
        <xdr:to>
          <xdr:col>0</xdr:col>
          <xdr:colOff>1314450</xdr:colOff>
          <xdr:row>22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Greek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4</xdr:row>
          <xdr:rowOff>177800</xdr:rowOff>
        </xdr:from>
        <xdr:to>
          <xdr:col>4</xdr:col>
          <xdr:colOff>1003300</xdr:colOff>
          <xdr:row>6</xdr:row>
          <xdr:rowOff>44450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6</xdr:row>
          <xdr:rowOff>114300</xdr:rowOff>
        </xdr:from>
        <xdr:to>
          <xdr:col>5</xdr:col>
          <xdr:colOff>387350</xdr:colOff>
          <xdr:row>8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19</xdr:row>
          <xdr:rowOff>152400</xdr:rowOff>
        </xdr:from>
        <xdr:to>
          <xdr:col>1</xdr:col>
          <xdr:colOff>1187450</xdr:colOff>
          <xdr:row>22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Greek Letters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9525</xdr:colOff>
      <xdr:row>1</xdr:row>
      <xdr:rowOff>0</xdr:rowOff>
    </xdr:from>
    <xdr:to>
      <xdr:col>16</xdr:col>
      <xdr:colOff>425450</xdr:colOff>
      <xdr:row>13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2"/>
  <sheetViews>
    <sheetView tabSelected="1" workbookViewId="0">
      <selection activeCell="D14" sqref="D14"/>
    </sheetView>
  </sheetViews>
  <sheetFormatPr defaultRowHeight="14.5" x14ac:dyDescent="0.35"/>
  <cols>
    <col min="1" max="1" width="22.81640625" customWidth="1"/>
    <col min="2" max="2" width="18.1796875" customWidth="1"/>
    <col min="3" max="3" width="10.7265625" customWidth="1"/>
    <col min="4" max="4" width="2.36328125" style="9" customWidth="1"/>
    <col min="5" max="5" width="16.26953125" customWidth="1"/>
    <col min="6" max="6" width="19.08984375" customWidth="1"/>
    <col min="7" max="7" width="16.90625" customWidth="1"/>
    <col min="8" max="8" width="2.36328125" style="9" customWidth="1"/>
    <col min="9" max="9" width="8.7265625" customWidth="1"/>
  </cols>
  <sheetData>
    <row r="1" spans="1:10" ht="15" thickBot="1" x14ac:dyDescent="0.4">
      <c r="A1" s="19" t="s">
        <v>0</v>
      </c>
      <c r="B1" s="8"/>
      <c r="E1" s="4" t="s">
        <v>20</v>
      </c>
      <c r="I1" s="4" t="s">
        <v>17</v>
      </c>
      <c r="J1" s="4" t="s">
        <v>12</v>
      </c>
    </row>
    <row r="2" spans="1:10" x14ac:dyDescent="0.35">
      <c r="A2" s="10" t="s">
        <v>1</v>
      </c>
      <c r="B2" s="16">
        <v>120</v>
      </c>
      <c r="C2" s="8"/>
      <c r="E2" s="5" t="s">
        <v>15</v>
      </c>
      <c r="F2" s="1">
        <v>100</v>
      </c>
      <c r="I2">
        <v>100</v>
      </c>
      <c r="J2">
        <v>-2.6288544552481218E-2</v>
      </c>
    </row>
    <row r="3" spans="1:10" x14ac:dyDescent="0.35">
      <c r="A3" s="11" t="s">
        <v>2</v>
      </c>
      <c r="B3" s="17">
        <v>5.0000000000000001E-3</v>
      </c>
      <c r="C3" s="8"/>
      <c r="E3" s="6" t="s">
        <v>16</v>
      </c>
      <c r="F3" s="2">
        <v>150</v>
      </c>
      <c r="I3">
        <v>100.5</v>
      </c>
      <c r="J3">
        <v>-3.3780646918703847E-2</v>
      </c>
    </row>
    <row r="4" spans="1:10" ht="15" thickBot="1" x14ac:dyDescent="0.4">
      <c r="A4" s="11" t="s">
        <v>3</v>
      </c>
      <c r="B4" s="17">
        <v>0.04</v>
      </c>
      <c r="C4" s="8"/>
      <c r="E4" s="7" t="s">
        <v>21</v>
      </c>
      <c r="F4" s="3">
        <v>100</v>
      </c>
      <c r="I4">
        <v>101</v>
      </c>
      <c r="J4">
        <v>-4.305457436662196E-2</v>
      </c>
    </row>
    <row r="5" spans="1:10" x14ac:dyDescent="0.35">
      <c r="A5" s="11" t="s">
        <v>4</v>
      </c>
      <c r="B5" s="17">
        <v>0.1</v>
      </c>
      <c r="C5" s="8"/>
      <c r="I5">
        <v>101.5</v>
      </c>
      <c r="J5">
        <v>-5.4433383244046098E-2</v>
      </c>
    </row>
    <row r="6" spans="1:10" x14ac:dyDescent="0.35">
      <c r="A6" s="11" t="s">
        <v>5</v>
      </c>
      <c r="B6" s="17">
        <v>119</v>
      </c>
      <c r="C6" s="8"/>
      <c r="F6" t="s">
        <v>19</v>
      </c>
      <c r="G6">
        <v>5</v>
      </c>
      <c r="I6">
        <v>102</v>
      </c>
      <c r="J6">
        <v>-6.8273099094423334E-2</v>
      </c>
    </row>
    <row r="7" spans="1:10" x14ac:dyDescent="0.35">
      <c r="A7" s="11" t="s">
        <v>6</v>
      </c>
      <c r="B7" s="13">
        <f ca="1">TODAY()</f>
        <v>42821</v>
      </c>
      <c r="C7" s="8"/>
      <c r="I7">
        <v>102.5</v>
      </c>
      <c r="J7">
        <v>-8.4960003244599958E-2</v>
      </c>
    </row>
    <row r="8" spans="1:10" x14ac:dyDescent="0.35">
      <c r="A8" s="11" t="s">
        <v>7</v>
      </c>
      <c r="B8" s="13">
        <f ca="1">TODAY()+92</f>
        <v>42913</v>
      </c>
      <c r="C8" s="8"/>
      <c r="I8">
        <v>103</v>
      </c>
      <c r="J8">
        <v>-0.10490619963531951</v>
      </c>
    </row>
    <row r="9" spans="1:10" ht="15" thickBot="1" x14ac:dyDescent="0.4">
      <c r="A9" s="12" t="s">
        <v>18</v>
      </c>
      <c r="B9" s="14">
        <f ca="1">(B8-B7)/252</f>
        <v>0.36507936507936506</v>
      </c>
      <c r="I9">
        <v>103.5</v>
      </c>
      <c r="J9">
        <v>-0.12854327870600296</v>
      </c>
    </row>
    <row r="10" spans="1:10" ht="15" thickBot="1" x14ac:dyDescent="0.4">
      <c r="A10" s="18" t="s">
        <v>22</v>
      </c>
      <c r="I10">
        <v>104</v>
      </c>
      <c r="J10">
        <v>-0.15631394938381948</v>
      </c>
    </row>
    <row r="11" spans="1:10" x14ac:dyDescent="0.35">
      <c r="A11" s="5" t="s">
        <v>8</v>
      </c>
      <c r="B11" s="1">
        <v>2.6027968633297718</v>
      </c>
      <c r="I11">
        <v>104.5</v>
      </c>
      <c r="J11">
        <v>-0.18866158137081418</v>
      </c>
    </row>
    <row r="12" spans="1:10" x14ac:dyDescent="0.35">
      <c r="A12" s="6" t="s">
        <v>9</v>
      </c>
      <c r="B12" s="2">
        <v>0.47594189986614199</v>
      </c>
      <c r="I12">
        <v>105</v>
      </c>
      <c r="J12">
        <v>-0.22601768663081673</v>
      </c>
    </row>
    <row r="13" spans="1:10" x14ac:dyDescent="0.35">
      <c r="A13" s="6" t="s">
        <v>10</v>
      </c>
      <c r="B13" s="2">
        <v>5.4174624563529887E-2</v>
      </c>
      <c r="I13">
        <v>105.5</v>
      </c>
      <c r="J13">
        <v>-0.26878746868288489</v>
      </c>
    </row>
    <row r="14" spans="1:10" x14ac:dyDescent="0.35">
      <c r="A14" s="6" t="s">
        <v>11</v>
      </c>
      <c r="B14" s="2">
        <v>28.480374056255705</v>
      </c>
      <c r="I14">
        <v>106</v>
      </c>
      <c r="J14">
        <v>-0.31733367722195593</v>
      </c>
    </row>
    <row r="15" spans="1:10" x14ac:dyDescent="0.35">
      <c r="A15" s="6" t="s">
        <v>12</v>
      </c>
      <c r="B15" s="2">
        <v>-1.8886030048197067</v>
      </c>
      <c r="I15">
        <v>106.5</v>
      </c>
      <c r="J15">
        <v>-0.37195911879993904</v>
      </c>
    </row>
    <row r="16" spans="1:10" x14ac:dyDescent="0.35">
      <c r="A16" s="6" t="s">
        <v>13</v>
      </c>
      <c r="B16" s="2">
        <v>-20.850787994135747</v>
      </c>
      <c r="I16">
        <v>107</v>
      </c>
      <c r="J16">
        <v>-0.43288828597599371</v>
      </c>
    </row>
    <row r="17" spans="1:10" ht="15" thickBot="1" x14ac:dyDescent="0.4">
      <c r="A17" s="7" t="s">
        <v>14</v>
      </c>
      <c r="B17" s="3">
        <v>19.900560567840746</v>
      </c>
      <c r="I17">
        <v>107.5</v>
      </c>
      <c r="J17">
        <v>-0.50024867101054082</v>
      </c>
    </row>
    <row r="18" spans="1:10" ht="48.5" x14ac:dyDescent="0.35">
      <c r="A18" s="20" t="s">
        <v>23</v>
      </c>
      <c r="I18">
        <v>108</v>
      </c>
      <c r="J18">
        <v>-0.5740524190918288</v>
      </c>
    </row>
    <row r="19" spans="1:10" x14ac:dyDescent="0.35">
      <c r="I19">
        <v>108.5</v>
      </c>
      <c r="J19">
        <v>-0.65417904365955937</v>
      </c>
    </row>
    <row r="20" spans="1:10" x14ac:dyDescent="0.35">
      <c r="I20">
        <v>109</v>
      </c>
      <c r="J20">
        <v>-0.74035996664881898</v>
      </c>
    </row>
    <row r="21" spans="1:10" x14ac:dyDescent="0.35">
      <c r="A21" s="8"/>
      <c r="B21" s="8"/>
      <c r="I21">
        <v>109.5</v>
      </c>
      <c r="J21">
        <v>-0.83216565449842839</v>
      </c>
    </row>
    <row r="22" spans="1:10" x14ac:dyDescent="0.35">
      <c r="A22" s="8"/>
      <c r="B22" s="8"/>
      <c r="I22">
        <v>110</v>
      </c>
      <c r="J22">
        <v>-0.9289960930975858</v>
      </c>
    </row>
    <row r="23" spans="1:10" x14ac:dyDescent="0.35">
      <c r="A23" s="15"/>
      <c r="B23" s="8"/>
      <c r="I23">
        <v>110.5</v>
      </c>
      <c r="J23">
        <v>-1.0300752798348218</v>
      </c>
    </row>
    <row r="24" spans="1:10" x14ac:dyDescent="0.35">
      <c r="A24" s="15"/>
      <c r="B24" s="8"/>
      <c r="I24">
        <v>111</v>
      </c>
      <c r="J24">
        <v>-1.1344503089536835</v>
      </c>
    </row>
    <row r="25" spans="1:10" x14ac:dyDescent="0.35">
      <c r="A25" s="8"/>
      <c r="B25" s="8"/>
      <c r="I25">
        <v>111.5</v>
      </c>
      <c r="J25">
        <v>-1.2409954900457758</v>
      </c>
    </row>
    <row r="26" spans="1:10" x14ac:dyDescent="0.35">
      <c r="A26" s="8"/>
      <c r="B26" s="8"/>
      <c r="I26">
        <v>112</v>
      </c>
      <c r="J26">
        <v>-1.3484217733721278</v>
      </c>
    </row>
    <row r="27" spans="1:10" x14ac:dyDescent="0.35">
      <c r="I27">
        <v>112.5</v>
      </c>
      <c r="J27">
        <v>-1.4552915663808408</v>
      </c>
    </row>
    <row r="28" spans="1:10" x14ac:dyDescent="0.35">
      <c r="I28">
        <v>113</v>
      </c>
      <c r="J28">
        <v>-1.5600388214856276</v>
      </c>
    </row>
    <row r="29" spans="1:10" x14ac:dyDescent="0.35">
      <c r="I29">
        <v>113.5</v>
      </c>
      <c r="J29">
        <v>-1.6609940652758985</v>
      </c>
    </row>
    <row r="30" spans="1:10" x14ac:dyDescent="0.35">
      <c r="I30">
        <v>114</v>
      </c>
      <c r="J30">
        <v>-1.7564138338973172</v>
      </c>
    </row>
    <row r="31" spans="1:10" x14ac:dyDescent="0.35">
      <c r="I31">
        <v>114.5</v>
      </c>
      <c r="J31">
        <v>-1.8445137885088356</v>
      </c>
    </row>
    <row r="32" spans="1:10" x14ac:dyDescent="0.35">
      <c r="I32">
        <v>115</v>
      </c>
      <c r="J32">
        <v>-1.9235046181127939</v>
      </c>
    </row>
    <row r="33" spans="9:10" x14ac:dyDescent="0.35">
      <c r="I33">
        <v>115.5</v>
      </c>
      <c r="J33">
        <v>-1.9916297032123471</v>
      </c>
    </row>
    <row r="34" spans="9:10" x14ac:dyDescent="0.35">
      <c r="I34">
        <v>116</v>
      </c>
      <c r="J34">
        <v>-2.0472034196304838</v>
      </c>
    </row>
    <row r="35" spans="9:10" x14ac:dyDescent="0.35">
      <c r="I35">
        <v>116.5</v>
      </c>
      <c r="J35">
        <v>-2.0886489123887841</v>
      </c>
    </row>
    <row r="36" spans="9:10" x14ac:dyDescent="0.35">
      <c r="I36">
        <v>117</v>
      </c>
      <c r="J36">
        <v>-2.1145341674756382</v>
      </c>
    </row>
    <row r="37" spans="9:10" x14ac:dyDescent="0.35">
      <c r="I37">
        <v>117.5</v>
      </c>
      <c r="J37">
        <v>-2.1236052549006801</v>
      </c>
    </row>
    <row r="38" spans="9:10" x14ac:dyDescent="0.35">
      <c r="I38">
        <v>118</v>
      </c>
      <c r="J38">
        <v>-2.1148157074946559</v>
      </c>
    </row>
    <row r="39" spans="9:10" x14ac:dyDescent="0.35">
      <c r="I39">
        <v>118.5</v>
      </c>
      <c r="J39">
        <v>-2.0873511320781892</v>
      </c>
    </row>
    <row r="40" spans="9:10" x14ac:dyDescent="0.35">
      <c r="I40">
        <v>119</v>
      </c>
      <c r="J40">
        <v>-2.0406483165272649</v>
      </c>
    </row>
    <row r="41" spans="9:10" x14ac:dyDescent="0.35">
      <c r="I41">
        <v>119.5</v>
      </c>
      <c r="J41">
        <v>-1.9744082899700963</v>
      </c>
    </row>
    <row r="42" spans="9:10" x14ac:dyDescent="0.35">
      <c r="I42">
        <v>120</v>
      </c>
      <c r="J42">
        <v>-1.8886030048197067</v>
      </c>
    </row>
    <row r="43" spans="9:10" x14ac:dyDescent="0.35">
      <c r="I43">
        <v>120.5</v>
      </c>
      <c r="J43">
        <v>-1.7834755289543285</v>
      </c>
    </row>
    <row r="44" spans="9:10" x14ac:dyDescent="0.35">
      <c r="I44">
        <v>121</v>
      </c>
      <c r="J44">
        <v>-1.6595338544252001</v>
      </c>
    </row>
    <row r="45" spans="9:10" x14ac:dyDescent="0.35">
      <c r="I45">
        <v>121.5</v>
      </c>
      <c r="J45">
        <v>-1.5175386363732555</v>
      </c>
    </row>
    <row r="46" spans="9:10" x14ac:dyDescent="0.35">
      <c r="I46">
        <v>122</v>
      </c>
      <c r="J46">
        <v>-1.3584853640572687</v>
      </c>
    </row>
    <row r="47" spans="9:10" x14ac:dyDescent="0.35">
      <c r="I47">
        <v>122.5</v>
      </c>
      <c r="J47">
        <v>-1.18358162800974</v>
      </c>
    </row>
    <row r="48" spans="9:10" x14ac:dyDescent="0.35">
      <c r="I48">
        <v>123</v>
      </c>
      <c r="J48">
        <v>-0.99422027789078937</v>
      </c>
    </row>
    <row r="49" spans="9:10" x14ac:dyDescent="0.35">
      <c r="I49">
        <v>123.5</v>
      </c>
      <c r="J49">
        <v>-0.79194936090503942</v>
      </c>
    </row>
    <row r="50" spans="9:10" x14ac:dyDescent="0.35">
      <c r="I50">
        <v>124</v>
      </c>
      <c r="J50">
        <v>-0.57843978880725944</v>
      </c>
    </row>
    <row r="51" spans="9:10" x14ac:dyDescent="0.35">
      <c r="I51">
        <v>124.5</v>
      </c>
      <c r="J51">
        <v>-0.355451702467247</v>
      </c>
    </row>
    <row r="52" spans="9:10" x14ac:dyDescent="0.35">
      <c r="I52">
        <v>125</v>
      </c>
      <c r="J52">
        <v>-0.12480048827422507</v>
      </c>
    </row>
    <row r="53" spans="9:10" x14ac:dyDescent="0.35">
      <c r="I53">
        <v>125.5</v>
      </c>
      <c r="J53">
        <v>0.11167664662041776</v>
      </c>
    </row>
    <row r="54" spans="9:10" x14ac:dyDescent="0.35">
      <c r="I54">
        <v>126</v>
      </c>
      <c r="J54">
        <v>0.35215270885935457</v>
      </c>
    </row>
    <row r="55" spans="9:10" x14ac:dyDescent="0.35">
      <c r="I55">
        <v>126.5</v>
      </c>
      <c r="J55">
        <v>0.59484083073434491</v>
      </c>
    </row>
    <row r="56" spans="9:10" x14ac:dyDescent="0.35">
      <c r="I56">
        <v>127</v>
      </c>
      <c r="J56">
        <v>0.83802144323266115</v>
      </c>
    </row>
    <row r="57" spans="9:10" x14ac:dyDescent="0.35">
      <c r="I57">
        <v>127.5</v>
      </c>
      <c r="J57">
        <v>1.0800662221472397</v>
      </c>
    </row>
    <row r="58" spans="9:10" x14ac:dyDescent="0.35">
      <c r="I58">
        <v>128</v>
      </c>
      <c r="J58">
        <v>1.3194584528006637</v>
      </c>
    </row>
    <row r="59" spans="9:10" x14ac:dyDescent="0.35">
      <c r="I59">
        <v>128.5</v>
      </c>
      <c r="J59">
        <v>1.5548095927427585</v>
      </c>
    </row>
    <row r="60" spans="9:10" x14ac:dyDescent="0.35">
      <c r="I60">
        <v>129</v>
      </c>
      <c r="J60">
        <v>1.7848719407017848</v>
      </c>
    </row>
    <row r="61" spans="9:10" x14ac:dyDescent="0.35">
      <c r="I61">
        <v>129.5</v>
      </c>
      <c r="J61">
        <v>2.0085474397963514</v>
      </c>
    </row>
    <row r="62" spans="9:10" x14ac:dyDescent="0.35">
      <c r="I62">
        <v>130</v>
      </c>
      <c r="J62">
        <v>2.2248927500777262</v>
      </c>
    </row>
    <row r="63" spans="9:10" x14ac:dyDescent="0.35">
      <c r="I63">
        <v>130.5</v>
      </c>
      <c r="J63">
        <v>2.4331208172947321</v>
      </c>
    </row>
    <row r="64" spans="9:10" x14ac:dyDescent="0.35">
      <c r="I64">
        <v>131</v>
      </c>
      <c r="J64">
        <v>2.6325992396854669</v>
      </c>
    </row>
    <row r="65" spans="9:10" x14ac:dyDescent="0.35">
      <c r="I65">
        <v>131.5</v>
      </c>
      <c r="J65">
        <v>2.8228457918033554</v>
      </c>
    </row>
    <row r="66" spans="9:10" x14ac:dyDescent="0.35">
      <c r="I66">
        <v>132</v>
      </c>
      <c r="J66">
        <v>3.003521503879707</v>
      </c>
    </row>
    <row r="67" spans="9:10" x14ac:dyDescent="0.35">
      <c r="I67">
        <v>132.5</v>
      </c>
      <c r="J67">
        <v>3.1744217177117791</v>
      </c>
    </row>
    <row r="68" spans="9:10" x14ac:dyDescent="0.35">
      <c r="I68">
        <v>133</v>
      </c>
      <c r="J68">
        <v>3.3354655468215055</v>
      </c>
    </row>
    <row r="69" spans="9:10" x14ac:dyDescent="0.35">
      <c r="I69">
        <v>133.5</v>
      </c>
      <c r="J69">
        <v>3.4866841613816306</v>
      </c>
    </row>
    <row r="70" spans="9:10" x14ac:dyDescent="0.35">
      <c r="I70">
        <v>134</v>
      </c>
      <c r="J70">
        <v>3.6282082991918116</v>
      </c>
    </row>
    <row r="71" spans="9:10" x14ac:dyDescent="0.35">
      <c r="I71">
        <v>134.5</v>
      </c>
      <c r="J71">
        <v>3.7602553750302037</v>
      </c>
    </row>
    <row r="72" spans="9:10" x14ac:dyDescent="0.35">
      <c r="I72">
        <v>135</v>
      </c>
      <c r="J72">
        <v>3.8831165242941479</v>
      </c>
    </row>
    <row r="73" spans="9:10" x14ac:dyDescent="0.35">
      <c r="I73">
        <v>135.5</v>
      </c>
      <c r="J73">
        <v>3.9971438752251278</v>
      </c>
    </row>
    <row r="74" spans="9:10" x14ac:dyDescent="0.35">
      <c r="I74">
        <v>136</v>
      </c>
      <c r="J74">
        <v>4.1027382993097632</v>
      </c>
    </row>
    <row r="75" spans="9:10" x14ac:dyDescent="0.35">
      <c r="I75">
        <v>136.5</v>
      </c>
      <c r="J75">
        <v>4.2003378435870919</v>
      </c>
    </row>
    <row r="76" spans="9:10" x14ac:dyDescent="0.35">
      <c r="I76">
        <v>137</v>
      </c>
      <c r="J76">
        <v>4.2904070032563242</v>
      </c>
    </row>
    <row r="77" spans="9:10" x14ac:dyDescent="0.35">
      <c r="I77">
        <v>137.5</v>
      </c>
      <c r="J77">
        <v>4.3734269495776799</v>
      </c>
    </row>
    <row r="78" spans="9:10" x14ac:dyDescent="0.35">
      <c r="I78">
        <v>138</v>
      </c>
      <c r="J78">
        <v>4.449886787714707</v>
      </c>
    </row>
    <row r="79" spans="9:10" x14ac:dyDescent="0.35">
      <c r="I79">
        <v>138.5</v>
      </c>
      <c r="J79">
        <v>4.5202758827151008</v>
      </c>
    </row>
    <row r="80" spans="9:10" x14ac:dyDescent="0.35">
      <c r="I80">
        <v>139</v>
      </c>
      <c r="J80">
        <v>4.5850772598331462</v>
      </c>
    </row>
    <row r="81" spans="9:10" x14ac:dyDescent="0.35">
      <c r="I81">
        <v>139.5</v>
      </c>
      <c r="J81">
        <v>4.6447620581737068</v>
      </c>
    </row>
    <row r="82" spans="9:10" x14ac:dyDescent="0.35">
      <c r="I82">
        <v>140</v>
      </c>
      <c r="J82">
        <v>4.699784994280173</v>
      </c>
    </row>
    <row r="83" spans="9:10" x14ac:dyDescent="0.35">
      <c r="I83">
        <v>140.5</v>
      </c>
      <c r="J83">
        <v>4.750580774704301</v>
      </c>
    </row>
    <row r="84" spans="9:10" x14ac:dyDescent="0.35">
      <c r="I84">
        <v>141</v>
      </c>
      <c r="J84">
        <v>4.7975613835422042</v>
      </c>
    </row>
    <row r="85" spans="9:10" x14ac:dyDescent="0.35">
      <c r="I85">
        <v>141.5</v>
      </c>
      <c r="J85">
        <v>4.841114162040177</v>
      </c>
    </row>
    <row r="86" spans="9:10" x14ac:dyDescent="0.35">
      <c r="I86">
        <v>142</v>
      </c>
      <c r="J86">
        <v>4.8816005922282963</v>
      </c>
    </row>
    <row r="87" spans="9:10" x14ac:dyDescent="0.35">
      <c r="I87">
        <v>142.5</v>
      </c>
      <c r="J87">
        <v>4.9193556946401493</v>
      </c>
    </row>
    <row r="88" spans="9:10" x14ac:dyDescent="0.35">
      <c r="I88">
        <v>143</v>
      </c>
      <c r="J88">
        <v>4.9546879510127342</v>
      </c>
    </row>
    <row r="89" spans="9:10" x14ac:dyDescent="0.35">
      <c r="I89">
        <v>143.5</v>
      </c>
      <c r="J89">
        <v>4.9878796659210103</v>
      </c>
    </row>
    <row r="90" spans="9:10" x14ac:dyDescent="0.35">
      <c r="I90">
        <v>144</v>
      </c>
      <c r="J90">
        <v>5.0191876860954068</v>
      </c>
    </row>
    <row r="91" spans="9:10" x14ac:dyDescent="0.35">
      <c r="I91">
        <v>144.5</v>
      </c>
      <c r="J91">
        <v>5.0488444022402579</v>
      </c>
    </row>
    <row r="92" spans="9:10" x14ac:dyDescent="0.35">
      <c r="I92">
        <v>145</v>
      </c>
      <c r="J92">
        <v>5.0770589651026334</v>
      </c>
    </row>
    <row r="93" spans="9:10" x14ac:dyDescent="0.35">
      <c r="I93">
        <v>145.5</v>
      </c>
      <c r="J93">
        <v>5.1040186549710045</v>
      </c>
    </row>
    <row r="94" spans="9:10" x14ac:dyDescent="0.35">
      <c r="I94">
        <v>146</v>
      </c>
      <c r="J94">
        <v>5.1298903514014205</v>
      </c>
    </row>
    <row r="95" spans="9:10" x14ac:dyDescent="0.35">
      <c r="I95">
        <v>146.5</v>
      </c>
      <c r="J95">
        <v>5.1548220575195458</v>
      </c>
    </row>
    <row r="96" spans="9:10" x14ac:dyDescent="0.35">
      <c r="I96">
        <v>147</v>
      </c>
      <c r="J96">
        <v>5.1789444405262657</v>
      </c>
    </row>
    <row r="97" spans="9:10" x14ac:dyDescent="0.35">
      <c r="I97">
        <v>147.5</v>
      </c>
      <c r="J97">
        <v>5.2023723568879516</v>
      </c>
    </row>
    <row r="98" spans="9:10" x14ac:dyDescent="0.35">
      <c r="I98">
        <v>148</v>
      </c>
      <c r="J98">
        <v>5.2252063370095341</v>
      </c>
    </row>
    <row r="99" spans="9:10" x14ac:dyDescent="0.35">
      <c r="I99">
        <v>148.5</v>
      </c>
      <c r="J99">
        <v>5.2475340098981533</v>
      </c>
    </row>
    <row r="100" spans="9:10" x14ac:dyDescent="0.35">
      <c r="I100">
        <v>149</v>
      </c>
      <c r="J100">
        <v>5.2694314533895641</v>
      </c>
    </row>
    <row r="101" spans="9:10" x14ac:dyDescent="0.35">
      <c r="I101">
        <v>149.5</v>
      </c>
      <c r="J101">
        <v>5.2909644599188024</v>
      </c>
    </row>
    <row r="102" spans="9:10" x14ac:dyDescent="0.35">
      <c r="I102">
        <v>150</v>
      </c>
      <c r="J102">
        <v>5.312189711583077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plot">
                <anchor moveWithCells="1" sizeWithCells="1">
                  <from>
                    <xdr:col>5</xdr:col>
                    <xdr:colOff>1054100</xdr:colOff>
                    <xdr:row>6</xdr:row>
                    <xdr:rowOff>95250</xdr:rowOff>
                  </from>
                  <to>
                    <xdr:col>6</xdr:col>
                    <xdr:colOff>654050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_greek">
                <anchor moveWithCells="1" sizeWithCells="1">
                  <from>
                    <xdr:col>0</xdr:col>
                    <xdr:colOff>114300</xdr:colOff>
                    <xdr:row>19</xdr:row>
                    <xdr:rowOff>152400</xdr:rowOff>
                  </from>
                  <to>
                    <xdr:col>0</xdr:col>
                    <xdr:colOff>1314450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4</xdr:col>
                    <xdr:colOff>31750</xdr:colOff>
                    <xdr:row>4</xdr:row>
                    <xdr:rowOff>177800</xdr:rowOff>
                  </from>
                  <to>
                    <xdr:col>4</xdr:col>
                    <xdr:colOff>1003300</xdr:colOff>
                    <xdr:row>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lot">
                <anchor moveWithCells="1" sizeWithCells="1">
                  <from>
                    <xdr:col>4</xdr:col>
                    <xdr:colOff>438150</xdr:colOff>
                    <xdr:row>6</xdr:row>
                    <xdr:rowOff>114300</xdr:rowOff>
                  </from>
                  <to>
                    <xdr:col>5</xdr:col>
                    <xdr:colOff>387350</xdr:colOff>
                    <xdr:row>8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_greek">
                <anchor moveWithCells="1" sizeWithCells="1">
                  <from>
                    <xdr:col>1</xdr:col>
                    <xdr:colOff>25400</xdr:colOff>
                    <xdr:row>19</xdr:row>
                    <xdr:rowOff>152400</xdr:rowOff>
                  </from>
                  <to>
                    <xdr:col>1</xdr:col>
                    <xdr:colOff>1187450</xdr:colOff>
                    <xdr:row>22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huang</dc:creator>
  <cp:lastModifiedBy>Rene huang</cp:lastModifiedBy>
  <dcterms:created xsi:type="dcterms:W3CDTF">2017-01-26T16:11:53Z</dcterms:created>
  <dcterms:modified xsi:type="dcterms:W3CDTF">2017-03-27T04:19:39Z</dcterms:modified>
</cp:coreProperties>
</file>