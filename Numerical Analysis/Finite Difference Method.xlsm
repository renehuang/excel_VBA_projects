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lumbia 17spring\numerical\hw4\"/>
    </mc:Choice>
  </mc:AlternateContent>
  <bookViews>
    <workbookView xWindow="0" yWindow="0" windowWidth="17930" windowHeight="1055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E8" i="1"/>
  <c r="E7" i="1"/>
  <c r="E6" i="1"/>
  <c r="D64" i="1" l="1"/>
  <c r="J67" i="1"/>
  <c r="J68" i="1"/>
  <c r="J70" i="1"/>
  <c r="J66" i="1"/>
  <c r="J69" i="1"/>
  <c r="L61" i="1"/>
  <c r="K2" i="1" s="1"/>
  <c r="K4" i="1" s="1"/>
  <c r="L62" i="1"/>
  <c r="J61" i="1"/>
  <c r="F61" i="1"/>
  <c r="K61" i="1"/>
  <c r="O61" i="1"/>
  <c r="S61" i="1"/>
  <c r="C62" i="1"/>
  <c r="G62" i="1"/>
  <c r="K62" i="1"/>
  <c r="P62" i="1"/>
  <c r="T62" i="1"/>
  <c r="D63" i="1"/>
  <c r="H63" i="1"/>
  <c r="L63" i="1"/>
  <c r="P63" i="1"/>
  <c r="T63" i="1"/>
  <c r="H64" i="1"/>
  <c r="L64" i="1"/>
  <c r="P64" i="1"/>
  <c r="T64" i="1"/>
  <c r="D65" i="1"/>
  <c r="H65" i="1"/>
  <c r="L65" i="1"/>
  <c r="P65" i="1"/>
  <c r="T65" i="1"/>
  <c r="D66" i="1"/>
  <c r="H66" i="1"/>
  <c r="M66" i="1"/>
  <c r="Q66" i="1"/>
  <c r="U66" i="1"/>
  <c r="E67" i="1"/>
  <c r="I67" i="1"/>
  <c r="M67" i="1"/>
  <c r="Q67" i="1"/>
  <c r="U67" i="1"/>
  <c r="E68" i="1"/>
  <c r="I68" i="1"/>
  <c r="M68" i="1"/>
  <c r="Q68" i="1"/>
  <c r="U68" i="1"/>
  <c r="E69" i="1"/>
  <c r="I69" i="1"/>
  <c r="M69" i="1"/>
  <c r="Q69" i="1"/>
  <c r="U69" i="1"/>
  <c r="E70" i="1"/>
  <c r="I70" i="1"/>
  <c r="M70" i="1"/>
  <c r="Q70" i="1"/>
  <c r="U70" i="1"/>
  <c r="E71" i="1"/>
  <c r="I71" i="1"/>
  <c r="M71" i="1"/>
  <c r="Q71" i="1"/>
  <c r="U71" i="1"/>
  <c r="E72" i="1"/>
  <c r="I72" i="1"/>
  <c r="M72" i="1"/>
  <c r="Q72" i="1"/>
  <c r="U72" i="1"/>
  <c r="E73" i="1"/>
  <c r="I73" i="1"/>
  <c r="M73" i="1"/>
  <c r="Q73" i="1"/>
  <c r="U73" i="1"/>
  <c r="E74" i="1"/>
  <c r="I74" i="1"/>
  <c r="M74" i="1"/>
  <c r="Q74" i="1"/>
  <c r="U74" i="1"/>
  <c r="E75" i="1"/>
  <c r="I75" i="1"/>
  <c r="M75" i="1"/>
  <c r="Q75" i="1"/>
  <c r="U75" i="1"/>
  <c r="E76" i="1"/>
  <c r="I76" i="1"/>
  <c r="M76" i="1"/>
  <c r="Q76" i="1"/>
  <c r="U76" i="1"/>
  <c r="E77" i="1"/>
  <c r="I77" i="1"/>
  <c r="M77" i="1"/>
  <c r="Q77" i="1"/>
  <c r="U77" i="1"/>
  <c r="C61" i="1"/>
  <c r="G61" i="1"/>
  <c r="P61" i="1"/>
  <c r="T61" i="1"/>
  <c r="D62" i="1"/>
  <c r="H62" i="1"/>
  <c r="M62" i="1"/>
  <c r="Q62" i="1"/>
  <c r="U62" i="1"/>
  <c r="E63" i="1"/>
  <c r="I63" i="1"/>
  <c r="M63" i="1"/>
  <c r="Q63" i="1"/>
  <c r="U63" i="1"/>
  <c r="E64" i="1"/>
  <c r="I64" i="1"/>
  <c r="M64" i="1"/>
  <c r="Q64" i="1"/>
  <c r="U64" i="1"/>
  <c r="E65" i="1"/>
  <c r="I65" i="1"/>
  <c r="M65" i="1"/>
  <c r="Q65" i="1"/>
  <c r="U65" i="1"/>
  <c r="E66" i="1"/>
  <c r="I66" i="1"/>
  <c r="N66" i="1"/>
  <c r="R66" i="1"/>
  <c r="V66" i="1"/>
  <c r="F67" i="1"/>
  <c r="N67" i="1"/>
  <c r="R67" i="1"/>
  <c r="V67" i="1"/>
  <c r="F68" i="1"/>
  <c r="N68" i="1"/>
  <c r="R68" i="1"/>
  <c r="V68" i="1"/>
  <c r="F69" i="1"/>
  <c r="N69" i="1"/>
  <c r="R69" i="1"/>
  <c r="V69" i="1"/>
  <c r="F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F74" i="1"/>
  <c r="J74" i="1"/>
  <c r="N74" i="1"/>
  <c r="R74" i="1"/>
  <c r="V74" i="1"/>
  <c r="F75" i="1"/>
  <c r="J75" i="1"/>
  <c r="N75" i="1"/>
  <c r="R75" i="1"/>
  <c r="V75" i="1"/>
  <c r="F76" i="1"/>
  <c r="J76" i="1"/>
  <c r="N76" i="1"/>
  <c r="R76" i="1"/>
  <c r="V76" i="1"/>
  <c r="F77" i="1"/>
  <c r="J77" i="1"/>
  <c r="N77" i="1"/>
  <c r="R77" i="1"/>
  <c r="V77" i="1"/>
  <c r="D61" i="1"/>
  <c r="M61" i="1"/>
  <c r="U61" i="1"/>
  <c r="I62" i="1"/>
  <c r="R62" i="1"/>
  <c r="F63" i="1"/>
  <c r="N63" i="1"/>
  <c r="V63" i="1"/>
  <c r="J64" i="1"/>
  <c r="R64" i="1"/>
  <c r="F65" i="1"/>
  <c r="N65" i="1"/>
  <c r="V65" i="1"/>
  <c r="K66" i="1"/>
  <c r="S66" i="1"/>
  <c r="G67" i="1"/>
  <c r="O67" i="1"/>
  <c r="C68" i="1"/>
  <c r="K68" i="1"/>
  <c r="S68" i="1"/>
  <c r="G69" i="1"/>
  <c r="O69" i="1"/>
  <c r="C70" i="1"/>
  <c r="K70" i="1"/>
  <c r="S70" i="1"/>
  <c r="G71" i="1"/>
  <c r="O71" i="1"/>
  <c r="C72" i="1"/>
  <c r="K72" i="1"/>
  <c r="S72" i="1"/>
  <c r="G73" i="1"/>
  <c r="O73" i="1"/>
  <c r="C74" i="1"/>
  <c r="K74" i="1"/>
  <c r="S74" i="1"/>
  <c r="G75" i="1"/>
  <c r="O75" i="1"/>
  <c r="C76" i="1"/>
  <c r="K76" i="1"/>
  <c r="S76" i="1"/>
  <c r="G77" i="1"/>
  <c r="O77" i="1"/>
  <c r="C78" i="1"/>
  <c r="G78" i="1"/>
  <c r="K78" i="1"/>
  <c r="O78" i="1"/>
  <c r="S78" i="1"/>
  <c r="C79" i="1"/>
  <c r="G79" i="1"/>
  <c r="K79" i="1"/>
  <c r="O79" i="1"/>
  <c r="S79" i="1"/>
  <c r="C80" i="1"/>
  <c r="G80" i="1"/>
  <c r="K80" i="1"/>
  <c r="O80" i="1"/>
  <c r="S80" i="1"/>
  <c r="C81" i="1"/>
  <c r="G81" i="1"/>
  <c r="K81" i="1"/>
  <c r="O81" i="1"/>
  <c r="S81" i="1"/>
  <c r="C82" i="1"/>
  <c r="G82" i="1"/>
  <c r="K82" i="1"/>
  <c r="O82" i="1"/>
  <c r="S82" i="1"/>
  <c r="C83" i="1"/>
  <c r="G83" i="1"/>
  <c r="K83" i="1"/>
  <c r="O83" i="1"/>
  <c r="S83" i="1"/>
  <c r="C84" i="1"/>
  <c r="G84" i="1"/>
  <c r="K84" i="1"/>
  <c r="O84" i="1"/>
  <c r="S84" i="1"/>
  <c r="C85" i="1"/>
  <c r="G85" i="1"/>
  <c r="K85" i="1"/>
  <c r="O85" i="1"/>
  <c r="S85" i="1"/>
  <c r="B62" i="1"/>
  <c r="B65" i="1"/>
  <c r="B69" i="1"/>
  <c r="B73" i="1"/>
  <c r="E61" i="1"/>
  <c r="N61" i="1"/>
  <c r="V61" i="1"/>
  <c r="J62" i="1"/>
  <c r="S62" i="1"/>
  <c r="G63" i="1"/>
  <c r="O63" i="1"/>
  <c r="C64" i="1"/>
  <c r="K64" i="1"/>
  <c r="S64" i="1"/>
  <c r="G65" i="1"/>
  <c r="O65" i="1"/>
  <c r="C66" i="1"/>
  <c r="L66" i="1"/>
  <c r="T66" i="1"/>
  <c r="H67" i="1"/>
  <c r="P67" i="1"/>
  <c r="D68" i="1"/>
  <c r="L68" i="1"/>
  <c r="T68" i="1"/>
  <c r="H69" i="1"/>
  <c r="P69" i="1"/>
  <c r="D70" i="1"/>
  <c r="L70" i="1"/>
  <c r="T70" i="1"/>
  <c r="H71" i="1"/>
  <c r="P71" i="1"/>
  <c r="D72" i="1"/>
  <c r="L72" i="1"/>
  <c r="T72" i="1"/>
  <c r="H73" i="1"/>
  <c r="P73" i="1"/>
  <c r="D74" i="1"/>
  <c r="L74" i="1"/>
  <c r="T74" i="1"/>
  <c r="H75" i="1"/>
  <c r="P75" i="1"/>
  <c r="D76" i="1"/>
  <c r="L76" i="1"/>
  <c r="T76" i="1"/>
  <c r="H77" i="1"/>
  <c r="P77" i="1"/>
  <c r="D78" i="1"/>
  <c r="H78" i="1"/>
  <c r="L78" i="1"/>
  <c r="P78" i="1"/>
  <c r="T78" i="1"/>
  <c r="D79" i="1"/>
  <c r="H79" i="1"/>
  <c r="L79" i="1"/>
  <c r="P79" i="1"/>
  <c r="T79" i="1"/>
  <c r="D80" i="1"/>
  <c r="H80" i="1"/>
  <c r="L80" i="1"/>
  <c r="P80" i="1"/>
  <c r="T80" i="1"/>
  <c r="D81" i="1"/>
  <c r="H81" i="1"/>
  <c r="L81" i="1"/>
  <c r="P81" i="1"/>
  <c r="T81" i="1"/>
  <c r="D82" i="1"/>
  <c r="H82" i="1"/>
  <c r="L82" i="1"/>
  <c r="P82" i="1"/>
  <c r="T82" i="1"/>
  <c r="D83" i="1"/>
  <c r="H83" i="1"/>
  <c r="L83" i="1"/>
  <c r="P83" i="1"/>
  <c r="T83" i="1"/>
  <c r="D84" i="1"/>
  <c r="H84" i="1"/>
  <c r="L84" i="1"/>
  <c r="P84" i="1"/>
  <c r="T84" i="1"/>
  <c r="D85" i="1"/>
  <c r="H85" i="1"/>
  <c r="L85" i="1"/>
  <c r="P85" i="1"/>
  <c r="T85" i="1"/>
  <c r="B61" i="1"/>
  <c r="B66" i="1"/>
  <c r="B70" i="1"/>
  <c r="B79" i="1"/>
  <c r="B68" i="1"/>
  <c r="N85" i="1"/>
  <c r="R84" i="1"/>
  <c r="V83" i="1"/>
  <c r="F83" i="1"/>
  <c r="J82" i="1"/>
  <c r="N81" i="1"/>
  <c r="R80" i="1"/>
  <c r="V79" i="1"/>
  <c r="F79" i="1"/>
  <c r="J78" i="1"/>
  <c r="D77" i="1"/>
  <c r="L75" i="1"/>
  <c r="T73" i="1"/>
  <c r="D73" i="1"/>
  <c r="L71" i="1"/>
  <c r="P70" i="1"/>
  <c r="T69" i="1"/>
  <c r="D69" i="1"/>
  <c r="H68" i="1"/>
  <c r="L67" i="1"/>
  <c r="P66" i="1"/>
  <c r="S65" i="1"/>
  <c r="C65" i="1"/>
  <c r="G64" i="1"/>
  <c r="K63" i="1"/>
  <c r="O62" i="1"/>
  <c r="R61" i="1"/>
  <c r="B82" i="1"/>
  <c r="B74" i="1"/>
  <c r="U85" i="1"/>
  <c r="E85" i="1"/>
  <c r="I84" i="1"/>
  <c r="M83" i="1"/>
  <c r="Q82" i="1"/>
  <c r="U81" i="1"/>
  <c r="E81" i="1"/>
  <c r="I80" i="1"/>
  <c r="M79" i="1"/>
  <c r="Q78" i="1"/>
  <c r="S77" i="1"/>
  <c r="G76" i="1"/>
  <c r="O74" i="1"/>
  <c r="C73" i="1"/>
  <c r="K71" i="1"/>
  <c r="S69" i="1"/>
  <c r="G68" i="1"/>
  <c r="O66" i="1"/>
  <c r="V64" i="1"/>
  <c r="J63" i="1"/>
  <c r="N62" i="1"/>
  <c r="B85" i="1"/>
  <c r="B81" i="1"/>
  <c r="B77" i="1"/>
  <c r="B72" i="1"/>
  <c r="B64" i="1"/>
  <c r="R85" i="1"/>
  <c r="J85" i="1"/>
  <c r="V84" i="1"/>
  <c r="N84" i="1"/>
  <c r="F84" i="1"/>
  <c r="R83" i="1"/>
  <c r="J83" i="1"/>
  <c r="V82" i="1"/>
  <c r="N82" i="1"/>
  <c r="F82" i="1"/>
  <c r="R81" i="1"/>
  <c r="J81" i="1"/>
  <c r="V80" i="1"/>
  <c r="N80" i="1"/>
  <c r="F80" i="1"/>
  <c r="R79" i="1"/>
  <c r="J79" i="1"/>
  <c r="V78" i="1"/>
  <c r="N78" i="1"/>
  <c r="F78" i="1"/>
  <c r="L77" i="1"/>
  <c r="P76" i="1"/>
  <c r="T75" i="1"/>
  <c r="D75" i="1"/>
  <c r="H74" i="1"/>
  <c r="L73" i="1"/>
  <c r="P72" i="1"/>
  <c r="T71" i="1"/>
  <c r="D71" i="1"/>
  <c r="H70" i="1"/>
  <c r="L69" i="1"/>
  <c r="P68" i="1"/>
  <c r="T67" i="1"/>
  <c r="D67" i="1"/>
  <c r="G66" i="1"/>
  <c r="K65" i="1"/>
  <c r="O64" i="1"/>
  <c r="S63" i="1"/>
  <c r="C63" i="1"/>
  <c r="F62" i="1"/>
  <c r="I61" i="1"/>
  <c r="B83" i="1"/>
  <c r="B75" i="1"/>
  <c r="V85" i="1"/>
  <c r="F85" i="1"/>
  <c r="J84" i="1"/>
  <c r="N83" i="1"/>
  <c r="R82" i="1"/>
  <c r="V81" i="1"/>
  <c r="F81" i="1"/>
  <c r="J80" i="1"/>
  <c r="N79" i="1"/>
  <c r="R78" i="1"/>
  <c r="T77" i="1"/>
  <c r="H76" i="1"/>
  <c r="P74" i="1"/>
  <c r="H72" i="1"/>
  <c r="B78" i="1"/>
  <c r="B67" i="1"/>
  <c r="M85" i="1"/>
  <c r="Q84" i="1"/>
  <c r="U83" i="1"/>
  <c r="E83" i="1"/>
  <c r="I82" i="1"/>
  <c r="M81" i="1"/>
  <c r="Q80" i="1"/>
  <c r="U79" i="1"/>
  <c r="E79" i="1"/>
  <c r="I78" i="1"/>
  <c r="C77" i="1"/>
  <c r="K75" i="1"/>
  <c r="S73" i="1"/>
  <c r="G72" i="1"/>
  <c r="O70" i="1"/>
  <c r="C69" i="1"/>
  <c r="K67" i="1"/>
  <c r="R65" i="1"/>
  <c r="F64" i="1"/>
  <c r="Q61" i="1"/>
  <c r="B84" i="1"/>
  <c r="B80" i="1"/>
  <c r="B76" i="1"/>
  <c r="B71" i="1"/>
  <c r="B63" i="1"/>
  <c r="Q85" i="1"/>
  <c r="I85" i="1"/>
  <c r="U84" i="1"/>
  <c r="M84" i="1"/>
  <c r="E84" i="1"/>
  <c r="Q83" i="1"/>
  <c r="I83" i="1"/>
  <c r="U82" i="1"/>
  <c r="M82" i="1"/>
  <c r="E82" i="1"/>
  <c r="Q81" i="1"/>
  <c r="I81" i="1"/>
  <c r="U80" i="1"/>
  <c r="M80" i="1"/>
  <c r="E80" i="1"/>
  <c r="Q79" i="1"/>
  <c r="I79" i="1"/>
  <c r="U78" i="1"/>
  <c r="M78" i="1"/>
  <c r="E78" i="1"/>
  <c r="K77" i="1"/>
  <c r="O76" i="1"/>
  <c r="S75" i="1"/>
  <c r="C75" i="1"/>
  <c r="G74" i="1"/>
  <c r="K73" i="1"/>
  <c r="O72" i="1"/>
  <c r="S71" i="1"/>
  <c r="C71" i="1"/>
  <c r="G70" i="1"/>
  <c r="K69" i="1"/>
  <c r="O68" i="1"/>
  <c r="S67" i="1"/>
  <c r="C67" i="1"/>
  <c r="F66" i="1"/>
  <c r="J65" i="1"/>
  <c r="N64" i="1"/>
  <c r="R63" i="1"/>
  <c r="V62" i="1"/>
  <c r="E62" i="1"/>
  <c r="H61" i="1"/>
</calcChain>
</file>

<file path=xl/sharedStrings.xml><?xml version="1.0" encoding="utf-8"?>
<sst xmlns="http://schemas.openxmlformats.org/spreadsheetml/2006/main" count="40" uniqueCount="39">
  <si>
    <t>Input</t>
  </si>
  <si>
    <t>Spot</t>
  </si>
  <si>
    <t>USD zero rate</t>
  </si>
  <si>
    <t>JPY zero rate</t>
  </si>
  <si>
    <t>Strike</t>
  </si>
  <si>
    <t>vol</t>
  </si>
  <si>
    <t>time to expirations</t>
  </si>
  <si>
    <t>theta</t>
  </si>
  <si>
    <t>x_0</t>
  </si>
  <si>
    <t>Matrix A</t>
  </si>
  <si>
    <t>Result</t>
  </si>
  <si>
    <t>Finite Difference</t>
  </si>
  <si>
    <t>BSM</t>
  </si>
  <si>
    <t>Difference</t>
  </si>
  <si>
    <t>W(i, tau)</t>
  </si>
  <si>
    <t xml:space="preserve">d_tau </t>
  </si>
  <si>
    <t>d_x</t>
  </si>
  <si>
    <t>lambda</t>
  </si>
  <si>
    <t>q</t>
  </si>
  <si>
    <t>q_delta</t>
  </si>
  <si>
    <t>tau/x</t>
  </si>
  <si>
    <t>Matrix B</t>
  </si>
  <si>
    <t>W</t>
  </si>
  <si>
    <t>d</t>
  </si>
  <si>
    <t>invA*d</t>
  </si>
  <si>
    <t>invA*B*W</t>
  </si>
  <si>
    <t>new_W</t>
  </si>
  <si>
    <t>InvA*B</t>
  </si>
  <si>
    <t>InvA</t>
  </si>
  <si>
    <t>S(i,tau)</t>
  </si>
  <si>
    <t>alpha</t>
  </si>
  <si>
    <t>beta</t>
  </si>
  <si>
    <t>*These four vector values will change every iteration</t>
  </si>
  <si>
    <t>Plotting PDE discrepancy</t>
  </si>
  <si>
    <t>theta_start</t>
  </si>
  <si>
    <t>theta_end</t>
  </si>
  <si>
    <t>incremental step</t>
  </si>
  <si>
    <t>Theta</t>
  </si>
  <si>
    <t>PDE discrepancy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</si>
</sst>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9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3" xfId="0" applyFill="1" applyBorder="1"/>
    <xf numFmtId="0" fontId="0" fillId="0" borderId="1" xfId="0" applyFill="1" applyBorder="1"/>
    <xf numFmtId="0" fontId="0" fillId="0" borderId="5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11" fontId="0" fillId="0" borderId="2" xfId="0" applyNumberFormat="1" applyBorder="1"/>
    <xf numFmtId="11" fontId="0" fillId="0" borderId="9" xfId="0" applyNumberFormat="1" applyBorder="1"/>
    <xf numFmtId="11" fontId="0" fillId="0" borderId="10" xfId="0" applyNumberFormat="1" applyBorder="1"/>
    <xf numFmtId="0" fontId="0" fillId="0" borderId="11" xfId="0" applyBorder="1"/>
    <xf numFmtId="11" fontId="0" fillId="0" borderId="5" xfId="0" applyNumberFormat="1" applyFill="1" applyBorder="1"/>
    <xf numFmtId="0" fontId="0" fillId="0" borderId="6" xfId="0" applyFill="1" applyBorder="1"/>
    <xf numFmtId="0" fontId="1" fillId="2" borderId="0" xfId="0" applyFont="1" applyFill="1" applyBorder="1"/>
    <xf numFmtId="0" fontId="0" fillId="0" borderId="0" xfId="0" applyFill="1" applyBorder="1"/>
    <xf numFmtId="0" fontId="1" fillId="0" borderId="0" xfId="0" applyFont="1"/>
    <xf numFmtId="0" fontId="1" fillId="2" borderId="9" xfId="0" applyFont="1" applyFill="1" applyBorder="1"/>
    <xf numFmtId="0" fontId="0" fillId="0" borderId="10" xfId="0" applyFill="1" applyBorder="1"/>
    <xf numFmtId="0" fontId="0" fillId="0" borderId="10" xfId="0" applyFont="1" applyFill="1" applyBorder="1"/>
    <xf numFmtId="0" fontId="0" fillId="0" borderId="11" xfId="0" applyFill="1" applyBorder="1"/>
    <xf numFmtId="0" fontId="0" fillId="3" borderId="0" xfId="0" applyFill="1" applyBorder="1"/>
    <xf numFmtId="11" fontId="0" fillId="0" borderId="12" xfId="0" applyNumberFormat="1" applyFill="1" applyBorder="1"/>
    <xf numFmtId="0" fontId="0" fillId="0" borderId="13" xfId="0" applyBorder="1"/>
    <xf numFmtId="0" fontId="0" fillId="0" borderId="14" xfId="0" applyFill="1" applyBorder="1"/>
    <xf numFmtId="0" fontId="1" fillId="2" borderId="7" xfId="0" applyFont="1" applyFill="1" applyBorder="1"/>
    <xf numFmtId="11" fontId="0" fillId="0" borderId="1" xfId="0" applyNumberFormat="1" applyBorder="1"/>
    <xf numFmtId="11" fontId="0" fillId="0" borderId="3" xfId="0" applyNumberFormat="1" applyBorder="1"/>
    <xf numFmtId="0" fontId="0" fillId="0" borderId="7" xfId="0" applyNumberFormat="1" applyFill="1" applyBorder="1"/>
    <xf numFmtId="0" fontId="1" fillId="2" borderId="7" xfId="0" applyNumberFormat="1" applyFont="1" applyFill="1" applyBorder="1"/>
    <xf numFmtId="0" fontId="0" fillId="0" borderId="0" xfId="0" applyNumberFormat="1" applyFill="1" applyBorder="1"/>
    <xf numFmtId="0" fontId="1" fillId="2" borderId="5" xfId="0" applyFont="1" applyFill="1" applyBorder="1"/>
    <xf numFmtId="0" fontId="0" fillId="4" borderId="0" xfId="0" applyFill="1"/>
    <xf numFmtId="0" fontId="0" fillId="0" borderId="0" xfId="0" applyFill="1"/>
    <xf numFmtId="0" fontId="3" fillId="0" borderId="0" xfId="0" applyFont="1" applyBorder="1"/>
    <xf numFmtId="0" fontId="0" fillId="3" borderId="1" xfId="0" applyNumberFormat="1" applyFill="1" applyBorder="1"/>
    <xf numFmtId="0" fontId="0" fillId="3" borderId="3" xfId="0" applyNumberFormat="1" applyFill="1" applyBorder="1"/>
    <xf numFmtId="0" fontId="0" fillId="3" borderId="5" xfId="0" applyNumberFormat="1" applyFill="1" applyBorder="1"/>
    <xf numFmtId="0" fontId="0" fillId="3" borderId="8" xfId="0" applyNumberFormat="1" applyFill="1" applyBorder="1"/>
    <xf numFmtId="0" fontId="0" fillId="3" borderId="6" xfId="0" applyNumberFormat="1" applyFill="1" applyBorder="1"/>
    <xf numFmtId="0" fontId="0" fillId="3" borderId="2" xfId="0" applyNumberFormat="1" applyFill="1" applyBorder="1"/>
    <xf numFmtId="0" fontId="0" fillId="3" borderId="4" xfId="0" applyNumberForma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2" borderId="15" xfId="0" applyFont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" borderId="2" xfId="0" applyFill="1" applyBorder="1"/>
    <xf numFmtId="0" fontId="0" fillId="2" borderId="1" xfId="0" applyFill="1" applyBorder="1"/>
    <xf numFmtId="11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Sheet1!$E$91</c:f>
              <c:strCache>
                <c:ptCount val="1"/>
                <c:pt idx="0">
                  <c:v>PDE discrepancy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Sheet1!$D$92:$D$192</c:f>
              <c:numCache>
                <c:formatCode>General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-0.92</c:v>
                </c:pt>
                <c:pt idx="5">
                  <c:v>-0.9</c:v>
                </c:pt>
                <c:pt idx="6">
                  <c:v>-0.88</c:v>
                </c:pt>
                <c:pt idx="7">
                  <c:v>-0.86</c:v>
                </c:pt>
                <c:pt idx="8">
                  <c:v>-0.84</c:v>
                </c:pt>
                <c:pt idx="9">
                  <c:v>-0.82000000000000006</c:v>
                </c:pt>
                <c:pt idx="10">
                  <c:v>-0.8</c:v>
                </c:pt>
                <c:pt idx="11">
                  <c:v>-0.78</c:v>
                </c:pt>
                <c:pt idx="12">
                  <c:v>-0.76</c:v>
                </c:pt>
                <c:pt idx="13">
                  <c:v>-0.74</c:v>
                </c:pt>
                <c:pt idx="14">
                  <c:v>-0.72</c:v>
                </c:pt>
                <c:pt idx="15">
                  <c:v>-0.7</c:v>
                </c:pt>
                <c:pt idx="16">
                  <c:v>-0.67999999999999994</c:v>
                </c:pt>
                <c:pt idx="17">
                  <c:v>-0.65999999999999992</c:v>
                </c:pt>
                <c:pt idx="18">
                  <c:v>-0.64</c:v>
                </c:pt>
                <c:pt idx="19">
                  <c:v>-0.62</c:v>
                </c:pt>
                <c:pt idx="20">
                  <c:v>-0.6</c:v>
                </c:pt>
                <c:pt idx="21">
                  <c:v>-0.58000000000000007</c:v>
                </c:pt>
                <c:pt idx="22">
                  <c:v>-0.56000000000000005</c:v>
                </c:pt>
                <c:pt idx="23">
                  <c:v>-0.54</c:v>
                </c:pt>
                <c:pt idx="24">
                  <c:v>-0.52</c:v>
                </c:pt>
                <c:pt idx="25">
                  <c:v>-0.5</c:v>
                </c:pt>
                <c:pt idx="26">
                  <c:v>-0.48</c:v>
                </c:pt>
                <c:pt idx="27">
                  <c:v>-0.45999999999999996</c:v>
                </c:pt>
                <c:pt idx="28">
                  <c:v>-0.43999999999999995</c:v>
                </c:pt>
                <c:pt idx="29">
                  <c:v>-0.42000000000000004</c:v>
                </c:pt>
                <c:pt idx="30">
                  <c:v>-0.4</c:v>
                </c:pt>
                <c:pt idx="31">
                  <c:v>-0.38</c:v>
                </c:pt>
                <c:pt idx="32">
                  <c:v>-0.36</c:v>
                </c:pt>
                <c:pt idx="33">
                  <c:v>-0.33999999999999997</c:v>
                </c:pt>
                <c:pt idx="34">
                  <c:v>-0.31999999999999995</c:v>
                </c:pt>
                <c:pt idx="35">
                  <c:v>-0.29999999999999993</c:v>
                </c:pt>
                <c:pt idx="36">
                  <c:v>-0.28000000000000003</c:v>
                </c:pt>
                <c:pt idx="37">
                  <c:v>-0.26</c:v>
                </c:pt>
                <c:pt idx="38">
                  <c:v>-0.24</c:v>
                </c:pt>
                <c:pt idx="39">
                  <c:v>-0.21999999999999997</c:v>
                </c:pt>
                <c:pt idx="40">
                  <c:v>-0.19999999999999996</c:v>
                </c:pt>
                <c:pt idx="41">
                  <c:v>-0.17999999999999994</c:v>
                </c:pt>
                <c:pt idx="42">
                  <c:v>-0.16000000000000003</c:v>
                </c:pt>
                <c:pt idx="43">
                  <c:v>-0.14000000000000001</c:v>
                </c:pt>
                <c:pt idx="44">
                  <c:v>-0.12</c:v>
                </c:pt>
                <c:pt idx="45">
                  <c:v>-9.9999999999999978E-2</c:v>
                </c:pt>
                <c:pt idx="46">
                  <c:v>-7.999999999999996E-2</c:v>
                </c:pt>
                <c:pt idx="47">
                  <c:v>-5.9999999999999942E-2</c:v>
                </c:pt>
                <c:pt idx="48">
                  <c:v>-4.0000000000000036E-2</c:v>
                </c:pt>
                <c:pt idx="49">
                  <c:v>-2.0000000000000018E-2</c:v>
                </c:pt>
                <c:pt idx="50">
                  <c:v>0</c:v>
                </c:pt>
                <c:pt idx="51">
                  <c:v>2.0000000000000018E-2</c:v>
                </c:pt>
                <c:pt idx="52">
                  <c:v>4.0000000000000036E-2</c:v>
                </c:pt>
                <c:pt idx="53">
                  <c:v>6.0000000000000053E-2</c:v>
                </c:pt>
                <c:pt idx="54">
                  <c:v>8.0000000000000071E-2</c:v>
                </c:pt>
                <c:pt idx="55">
                  <c:v>0.10000000000000009</c:v>
                </c:pt>
                <c:pt idx="56">
                  <c:v>0.12000000000000011</c:v>
                </c:pt>
                <c:pt idx="57">
                  <c:v>0.14000000000000012</c:v>
                </c:pt>
                <c:pt idx="58">
                  <c:v>0.15999999999999992</c:v>
                </c:pt>
                <c:pt idx="59">
                  <c:v>0.17999999999999994</c:v>
                </c:pt>
                <c:pt idx="60">
                  <c:v>0.19999999999999996</c:v>
                </c:pt>
                <c:pt idx="61">
                  <c:v>0.21999999999999997</c:v>
                </c:pt>
                <c:pt idx="62">
                  <c:v>0.24</c:v>
                </c:pt>
                <c:pt idx="63">
                  <c:v>0.26</c:v>
                </c:pt>
                <c:pt idx="64">
                  <c:v>0.28000000000000003</c:v>
                </c:pt>
                <c:pt idx="65">
                  <c:v>0.30000000000000004</c:v>
                </c:pt>
                <c:pt idx="66">
                  <c:v>0.32000000000000006</c:v>
                </c:pt>
                <c:pt idx="67">
                  <c:v>0.34000000000000008</c:v>
                </c:pt>
                <c:pt idx="68">
                  <c:v>0.3600000000000001</c:v>
                </c:pt>
                <c:pt idx="69">
                  <c:v>0.38000000000000012</c:v>
                </c:pt>
                <c:pt idx="70">
                  <c:v>0.40000000000000013</c:v>
                </c:pt>
                <c:pt idx="71">
                  <c:v>0.41999999999999993</c:v>
                </c:pt>
                <c:pt idx="72">
                  <c:v>0.43999999999999995</c:v>
                </c:pt>
                <c:pt idx="73">
                  <c:v>0.45999999999999996</c:v>
                </c:pt>
                <c:pt idx="74">
                  <c:v>0.48</c:v>
                </c:pt>
                <c:pt idx="75">
                  <c:v>0.5</c:v>
                </c:pt>
                <c:pt idx="76">
                  <c:v>0.52</c:v>
                </c:pt>
                <c:pt idx="77">
                  <c:v>0.54</c:v>
                </c:pt>
                <c:pt idx="78">
                  <c:v>0.56000000000000005</c:v>
                </c:pt>
                <c:pt idx="79">
                  <c:v>0.58000000000000007</c:v>
                </c:pt>
                <c:pt idx="80">
                  <c:v>0.60000000000000009</c:v>
                </c:pt>
                <c:pt idx="81">
                  <c:v>0.62000000000000011</c:v>
                </c:pt>
                <c:pt idx="82">
                  <c:v>0.64000000000000012</c:v>
                </c:pt>
                <c:pt idx="83">
                  <c:v>0.66000000000000014</c:v>
                </c:pt>
                <c:pt idx="84">
                  <c:v>0.67999999999999994</c:v>
                </c:pt>
                <c:pt idx="85">
                  <c:v>0.7</c:v>
                </c:pt>
                <c:pt idx="86">
                  <c:v>0.72</c:v>
                </c:pt>
                <c:pt idx="87">
                  <c:v>0.74</c:v>
                </c:pt>
                <c:pt idx="88">
                  <c:v>0.76</c:v>
                </c:pt>
                <c:pt idx="89">
                  <c:v>0.78</c:v>
                </c:pt>
                <c:pt idx="90">
                  <c:v>0.8</c:v>
                </c:pt>
                <c:pt idx="91">
                  <c:v>0.82000000000000006</c:v>
                </c:pt>
                <c:pt idx="92">
                  <c:v>0.84000000000000008</c:v>
                </c:pt>
                <c:pt idx="93">
                  <c:v>0.8600000000000001</c:v>
                </c:pt>
                <c:pt idx="94">
                  <c:v>0.88000000000000012</c:v>
                </c:pt>
                <c:pt idx="95">
                  <c:v>0.90000000000000013</c:v>
                </c:pt>
                <c:pt idx="96">
                  <c:v>0.91999999999999993</c:v>
                </c:pt>
                <c:pt idx="97">
                  <c:v>0.94</c:v>
                </c:pt>
                <c:pt idx="98">
                  <c:v>0.96</c:v>
                </c:pt>
                <c:pt idx="99">
                  <c:v>0.98</c:v>
                </c:pt>
                <c:pt idx="100">
                  <c:v>1</c:v>
                </c:pt>
              </c:numCache>
            </c:numRef>
          </c:cat>
          <c:val>
            <c:numRef>
              <c:f>Sheet1!$E$92:$E$192</c:f>
              <c:numCache>
                <c:formatCode>General</c:formatCode>
                <c:ptCount val="101"/>
                <c:pt idx="0">
                  <c:v>4.8427238035462228E-3</c:v>
                </c:pt>
                <c:pt idx="1">
                  <c:v>4.8418624098893748E-3</c:v>
                </c:pt>
                <c:pt idx="2">
                  <c:v>4.8448656656581157E-3</c:v>
                </c:pt>
                <c:pt idx="3">
                  <c:v>4.8516425023854559E-3</c:v>
                </c:pt>
                <c:pt idx="4">
                  <c:v>4.8621026643158594E-3</c:v>
                </c:pt>
                <c:pt idx="5">
                  <c:v>4.8761568120521126E-3</c:v>
                </c:pt>
                <c:pt idx="6">
                  <c:v>4.893716618105115E-3</c:v>
                </c:pt>
                <c:pt idx="7">
                  <c:v>4.9146948542737601E-3</c:v>
                </c:pt>
                <c:pt idx="8">
                  <c:v>4.9390054707794118E-3</c:v>
                </c:pt>
                <c:pt idx="9">
                  <c:v>4.9665636674001146E-3</c:v>
                </c:pt>
                <c:pt idx="10">
                  <c:v>4.9972859565639016E-3</c:v>
                </c:pt>
                <c:pt idx="11">
                  <c:v>5.0310902186714301E-3</c:v>
                </c:pt>
                <c:pt idx="12">
                  <c:v>5.0678957497913846E-3</c:v>
                </c:pt>
                <c:pt idx="13">
                  <c:v>5.1076233020861395E-3</c:v>
                </c:pt>
                <c:pt idx="14">
                  <c:v>5.1501951171379901E-3</c:v>
                </c:pt>
                <c:pt idx="15">
                  <c:v>5.1955349526449091E-3</c:v>
                </c:pt>
                <c:pt idx="16">
                  <c:v>5.2435681026963277E-3</c:v>
                </c:pt>
                <c:pt idx="17">
                  <c:v>5.2942214121438624E-3</c:v>
                </c:pt>
                <c:pt idx="18">
                  <c:v>5.3474232853085724E-3</c:v>
                </c:pt>
                <c:pt idx="19">
                  <c:v>5.4031036896136087E-3</c:v>
                </c:pt>
                <c:pt idx="20">
                  <c:v>5.46119415432611E-3</c:v>
                </c:pt>
                <c:pt idx="21">
                  <c:v>5.5216277650622647E-3</c:v>
                </c:pt>
                <c:pt idx="22">
                  <c:v>5.5843391541914311E-3</c:v>
                </c:pt>
                <c:pt idx="23">
                  <c:v>5.649264487816108E-3</c:v>
                </c:pt>
                <c:pt idx="24">
                  <c:v>5.7163414493983655E-3</c:v>
                </c:pt>
                <c:pt idx="25">
                  <c:v>5.7855092207648173E-3</c:v>
                </c:pt>
                <c:pt idx="26">
                  <c:v>5.8567084604479458E-3</c:v>
                </c:pt>
                <c:pt idx="27">
                  <c:v>5.9298812800767653E-3</c:v>
                </c:pt>
                <c:pt idx="28">
                  <c:v>6.0049712187679738E-3</c:v>
                </c:pt>
                <c:pt idx="29">
                  <c:v>6.081923216180618E-3</c:v>
                </c:pt>
                <c:pt idx="30">
                  <c:v>6.1606835841589991E-3</c:v>
                </c:pt>
                <c:pt idx="31">
                  <c:v>6.2411999774441007E-3</c:v>
                </c:pt>
                <c:pt idx="32">
                  <c:v>6.3234213635852132E-3</c:v>
                </c:pt>
                <c:pt idx="33">
                  <c:v>6.4072979923297524E-3</c:v>
                </c:pt>
                <c:pt idx="34">
                  <c:v>6.4927813645276888E-3</c:v>
                </c:pt>
                <c:pt idx="35">
                  <c:v>6.5798242009724728E-3</c:v>
                </c:pt>
                <c:pt idx="36">
                  <c:v>6.6683804110203582E-3</c:v>
                </c:pt>
                <c:pt idx="37">
                  <c:v>6.7584050613620494E-3</c:v>
                </c:pt>
                <c:pt idx="38">
                  <c:v>6.8498543450095095E-3</c:v>
                </c:pt>
                <c:pt idx="39">
                  <c:v>6.9426855505190233E-3</c:v>
                </c:pt>
                <c:pt idx="40">
                  <c:v>7.0368570315204604E-3</c:v>
                </c:pt>
                <c:pt idx="41">
                  <c:v>7.1323281768846947E-3</c:v>
                </c:pt>
                <c:pt idx="42">
                  <c:v>7.2290593811867865E-3</c:v>
                </c:pt>
                <c:pt idx="43">
                  <c:v>7.3270120158839269E-3</c:v>
                </c:pt>
                <c:pt idx="44">
                  <c:v>7.426148401046051E-3</c:v>
                </c:pt>
                <c:pt idx="45">
                  <c:v>7.5264317776482237E-3</c:v>
                </c:pt>
                <c:pt idx="46">
                  <c:v>7.6278262807067954E-3</c:v>
                </c:pt>
                <c:pt idx="47">
                  <c:v>7.7302969129040555E-3</c:v>
                </c:pt>
                <c:pt idx="48">
                  <c:v>7.8338095190335633E-3</c:v>
                </c:pt>
                <c:pt idx="49">
                  <c:v>7.9383307611096132E-3</c:v>
                </c:pt>
                <c:pt idx="50">
                  <c:v>8.0438280941865781E-3</c:v>
                </c:pt>
                <c:pt idx="51">
                  <c:v>8.1502697428905702E-3</c:v>
                </c:pt>
                <c:pt idx="52">
                  <c:v>8.2576246786691954E-3</c:v>
                </c:pt>
                <c:pt idx="53">
                  <c:v>8.3658625976605894E-3</c:v>
                </c:pt>
                <c:pt idx="54">
                  <c:v>8.4749538993904583E-3</c:v>
                </c:pt>
                <c:pt idx="55">
                  <c:v>8.5848696660335566E-3</c:v>
                </c:pt>
                <c:pt idx="56">
                  <c:v>8.6955816423632815E-3</c:v>
                </c:pt>
                <c:pt idx="57">
                  <c:v>8.8070622163640699E-3</c:v>
                </c:pt>
                <c:pt idx="58">
                  <c:v>8.9192844004701843E-3</c:v>
                </c:pt>
                <c:pt idx="59">
                  <c:v>9.0322218134757382E-3</c:v>
                </c:pt>
                <c:pt idx="60">
                  <c:v>9.1458486629354407E-3</c:v>
                </c:pt>
                <c:pt idx="61">
                  <c:v>9.2601397282265907E-3</c:v>
                </c:pt>
                <c:pt idx="62">
                  <c:v>9.3750703441533023E-3</c:v>
                </c:pt>
                <c:pt idx="63">
                  <c:v>9.4906163851569136E-3</c:v>
                </c:pt>
                <c:pt idx="64">
                  <c:v>9.6067542499471692E-3</c:v>
                </c:pt>
                <c:pt idx="65">
                  <c:v>9.7234608467404726E-3</c:v>
                </c:pt>
                <c:pt idx="66">
                  <c:v>9.8407135789384537E-3</c:v>
                </c:pt>
                <c:pt idx="67">
                  <c:v>9.9584903313567619E-3</c:v>
                </c:pt>
                <c:pt idx="68">
                  <c:v>1.0076769456791146E-2</c:v>
                </c:pt>
                <c:pt idx="69">
                  <c:v>1.0195529763170619E-2</c:v>
                </c:pt>
                <c:pt idx="70">
                  <c:v>1.0314750501068559E-2</c:v>
                </c:pt>
                <c:pt idx="71">
                  <c:v>1.0434411351581296E-2</c:v>
                </c:pt>
                <c:pt idx="72">
                  <c:v>1.0554492414724725E-2</c:v>
                </c:pt>
                <c:pt idx="73">
                  <c:v>1.0674974198120468E-2</c:v>
                </c:pt>
                <c:pt idx="74">
                  <c:v>1.0795837606070169E-2</c:v>
                </c:pt>
                <c:pt idx="75">
                  <c:v>1.091706392900349E-2</c:v>
                </c:pt>
                <c:pt idx="76">
                  <c:v>1.1038634833277383E-2</c:v>
                </c:pt>
                <c:pt idx="77">
                  <c:v>1.116053235127934E-2</c:v>
                </c:pt>
                <c:pt idx="78">
                  <c:v>1.1282738871830178E-2</c:v>
                </c:pt>
                <c:pt idx="79">
                  <c:v>1.1405237130983625E-2</c:v>
                </c:pt>
                <c:pt idx="80">
                  <c:v>1.1528010202987549E-2</c:v>
                </c:pt>
                <c:pt idx="81">
                  <c:v>1.1651041491640646E-2</c:v>
                </c:pt>
                <c:pt idx="82">
                  <c:v>1.1774314721866963E-2</c:v>
                </c:pt>
                <c:pt idx="83">
                  <c:v>1.1897813931567525E-2</c:v>
                </c:pt>
                <c:pt idx="84">
                  <c:v>1.2021523463706663E-2</c:v>
                </c:pt>
                <c:pt idx="85">
                  <c:v>1.2145427958678567E-2</c:v>
                </c:pt>
                <c:pt idx="86">
                  <c:v>1.2269512346874567E-2</c:v>
                </c:pt>
                <c:pt idx="87">
                  <c:v>1.2393761841487105E-2</c:v>
                </c:pt>
                <c:pt idx="88">
                  <c:v>1.2518161931543315E-2</c:v>
                </c:pt>
                <c:pt idx="89">
                  <c:v>1.2642698375118E-2</c:v>
                </c:pt>
                <c:pt idx="90">
                  <c:v>1.2767357192791984E-2</c:v>
                </c:pt>
                <c:pt idx="91">
                  <c:v>1.2892124661263882E-2</c:v>
                </c:pt>
                <c:pt idx="92">
                  <c:v>1.301698730717038E-2</c:v>
                </c:pt>
                <c:pt idx="93">
                  <c:v>1.314193190109525E-2</c:v>
                </c:pt>
                <c:pt idx="94">
                  <c:v>1.3266945451742229E-2</c:v>
                </c:pt>
                <c:pt idx="95">
                  <c:v>1.3392015200260898E-2</c:v>
                </c:pt>
                <c:pt idx="96">
                  <c:v>1.3517128614776164E-2</c:v>
                </c:pt>
                <c:pt idx="97">
                  <c:v>1.364227338503321E-2</c:v>
                </c:pt>
                <c:pt idx="98">
                  <c:v>1.3767437417245398E-2</c:v>
                </c:pt>
                <c:pt idx="99">
                  <c:v>1.3892608828997899E-2</c:v>
                </c:pt>
                <c:pt idx="100">
                  <c:v>1.4017775944413335E-2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EA-4938-BE7D-BC5EC2161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3584936"/>
        <c:axId val="703585592"/>
      </c:lineChart>
      <c:catAx>
        <c:axId val="70358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585592"/>
        <c:crosses val="autoZero"/>
        <c:auto val="1"/>
        <c:lblAlgn val="ctr"/>
        <c:lblOffset val="100"/>
        <c:noMultiLvlLbl val="0"/>
      </c:catAx>
      <c:valAx>
        <c:axId val="703585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584936"/>
        <c:crosses val="autoZero"/>
        <c:crossBetween val="between"/>
      </c:valAx>
      <c:spPr>
        <a:solidFill>
          <a:schemeClr val="bg2">
            <a:lumMod val="9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146050</xdr:rowOff>
        </xdr:from>
        <xdr:to>
          <xdr:col>7</xdr:col>
          <xdr:colOff>488950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2</xdr:row>
          <xdr:rowOff>165100</xdr:rowOff>
        </xdr:from>
        <xdr:to>
          <xdr:col>7</xdr:col>
          <xdr:colOff>457200</xdr:colOff>
          <xdr:row>4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BSM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95</xdr:row>
          <xdr:rowOff>6350</xdr:rowOff>
        </xdr:from>
        <xdr:to>
          <xdr:col>0</xdr:col>
          <xdr:colOff>1130300</xdr:colOff>
          <xdr:row>96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250309</xdr:colOff>
      <xdr:row>89</xdr:row>
      <xdr:rowOff>178981</xdr:rowOff>
    </xdr:from>
    <xdr:to>
      <xdr:col>11</xdr:col>
      <xdr:colOff>406844</xdr:colOff>
      <xdr:row>104</xdr:row>
      <xdr:rowOff>138518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192"/>
  <sheetViews>
    <sheetView tabSelected="1" zoomScale="86" zoomScaleNormal="70" workbookViewId="0">
      <selection activeCell="J18" sqref="J18"/>
    </sheetView>
  </sheetViews>
  <sheetFormatPr defaultRowHeight="14.5" x14ac:dyDescent="0.35"/>
  <cols>
    <col min="1" max="1" width="16.7265625" bestFit="1" customWidth="1"/>
    <col min="2" max="2" width="12.90625" bestFit="1" customWidth="1"/>
    <col min="3" max="4" width="13.6328125" bestFit="1" customWidth="1"/>
    <col min="5" max="5" width="14.54296875" customWidth="1"/>
    <col min="6" max="6" width="10.90625" customWidth="1"/>
    <col min="7" max="7" width="9.81640625" customWidth="1"/>
    <col min="8" max="8" width="10.453125" customWidth="1"/>
    <col min="9" max="9" width="8.453125" customWidth="1"/>
    <col min="10" max="10" width="14.7265625" bestFit="1" customWidth="1"/>
    <col min="11" max="11" width="13.36328125" customWidth="1"/>
    <col min="12" max="12" width="8.90625" bestFit="1" customWidth="1"/>
    <col min="13" max="13" width="12" customWidth="1"/>
    <col min="14" max="22" width="8.90625" bestFit="1" customWidth="1"/>
    <col min="23" max="23" width="7.54296875" style="45" customWidth="1"/>
    <col min="24" max="40" width="13.6328125" bestFit="1" customWidth="1"/>
  </cols>
  <sheetData>
    <row r="1" spans="1:42" ht="15" thickBot="1" x14ac:dyDescent="0.4">
      <c r="A1" s="1" t="s">
        <v>0</v>
      </c>
      <c r="J1" s="1" t="s">
        <v>10</v>
      </c>
      <c r="X1" s="26" t="s">
        <v>9</v>
      </c>
    </row>
    <row r="2" spans="1:42" x14ac:dyDescent="0.35">
      <c r="A2" s="2" t="s">
        <v>1</v>
      </c>
      <c r="B2" s="3">
        <v>120</v>
      </c>
      <c r="D2" s="14" t="s">
        <v>15</v>
      </c>
      <c r="E2" s="20">
        <v>3.9954337899543389E-6</v>
      </c>
      <c r="J2" s="61" t="s">
        <v>11</v>
      </c>
      <c r="K2" s="60">
        <f>L61</f>
        <v>1.2629209430637083</v>
      </c>
      <c r="X2" s="2">
        <v>1.1172763924569746</v>
      </c>
      <c r="Y2" s="11">
        <v>-5.8638196228487323E-2</v>
      </c>
      <c r="Z2" s="11">
        <v>0</v>
      </c>
      <c r="AA2" s="11">
        <v>0</v>
      </c>
      <c r="AB2" s="11">
        <v>0</v>
      </c>
      <c r="AC2" s="11">
        <v>0</v>
      </c>
      <c r="AD2" s="11">
        <v>0</v>
      </c>
      <c r="AE2" s="11">
        <v>0</v>
      </c>
      <c r="AF2" s="11">
        <v>0</v>
      </c>
      <c r="AG2" s="11">
        <v>0</v>
      </c>
      <c r="AH2" s="11">
        <v>0</v>
      </c>
      <c r="AI2" s="11">
        <v>0</v>
      </c>
      <c r="AJ2" s="11">
        <v>0</v>
      </c>
      <c r="AK2" s="11">
        <v>0</v>
      </c>
      <c r="AL2" s="11">
        <v>0</v>
      </c>
      <c r="AM2" s="11">
        <v>0</v>
      </c>
      <c r="AN2" s="11">
        <v>0</v>
      </c>
      <c r="AO2" s="11">
        <v>0</v>
      </c>
      <c r="AP2" s="3">
        <v>0</v>
      </c>
    </row>
    <row r="3" spans="1:42" x14ac:dyDescent="0.35">
      <c r="A3" s="4" t="s">
        <v>2</v>
      </c>
      <c r="B3" s="5">
        <v>0.02</v>
      </c>
      <c r="D3" s="13" t="s">
        <v>16</v>
      </c>
      <c r="E3" s="7">
        <v>5.8368249670516584E-3</v>
      </c>
      <c r="J3" s="4" t="s">
        <v>12</v>
      </c>
      <c r="K3" s="7">
        <v>1.2520172607926838</v>
      </c>
      <c r="X3" s="4">
        <v>-5.8638196228487323E-2</v>
      </c>
      <c r="Y3" s="10">
        <v>1.1172763924569746</v>
      </c>
      <c r="Z3" s="10">
        <v>-5.8638196228487323E-2</v>
      </c>
      <c r="AA3" s="10">
        <v>0</v>
      </c>
      <c r="AB3" s="10">
        <v>0</v>
      </c>
      <c r="AC3" s="10">
        <v>0</v>
      </c>
      <c r="AD3" s="10">
        <v>0</v>
      </c>
      <c r="AE3" s="10">
        <v>0</v>
      </c>
      <c r="AF3" s="10">
        <v>0</v>
      </c>
      <c r="AG3" s="10">
        <v>0</v>
      </c>
      <c r="AH3" s="10">
        <v>0</v>
      </c>
      <c r="AI3" s="10">
        <v>0</v>
      </c>
      <c r="AJ3" s="10">
        <v>0</v>
      </c>
      <c r="AK3" s="10">
        <v>0</v>
      </c>
      <c r="AL3" s="10">
        <v>0</v>
      </c>
      <c r="AM3" s="10">
        <v>0</v>
      </c>
      <c r="AN3" s="10">
        <v>0</v>
      </c>
      <c r="AO3" s="10">
        <v>0</v>
      </c>
      <c r="AP3" s="7">
        <v>0</v>
      </c>
    </row>
    <row r="4" spans="1:42" ht="15" thickBot="1" x14ac:dyDescent="0.4">
      <c r="A4" s="4" t="s">
        <v>3</v>
      </c>
      <c r="B4" s="6">
        <v>5.0000000000000001E-3</v>
      </c>
      <c r="D4" s="13" t="s">
        <v>17</v>
      </c>
      <c r="E4" s="7">
        <v>0.11727639245697465</v>
      </c>
      <c r="J4" s="8" t="s">
        <v>13</v>
      </c>
      <c r="K4" s="9">
        <f>K2-K3</f>
        <v>1.0903682271024451E-2</v>
      </c>
      <c r="X4" s="4">
        <v>0</v>
      </c>
      <c r="Y4" s="10">
        <v>-5.8638196228487323E-2</v>
      </c>
      <c r="Z4" s="10">
        <v>1.1172763924569746</v>
      </c>
      <c r="AA4" s="10">
        <v>-5.8638196228487323E-2</v>
      </c>
      <c r="AB4" s="10">
        <v>0</v>
      </c>
      <c r="AC4" s="10">
        <v>0</v>
      </c>
      <c r="AD4" s="10">
        <v>0</v>
      </c>
      <c r="AE4" s="10">
        <v>0</v>
      </c>
      <c r="AF4" s="10">
        <v>0</v>
      </c>
      <c r="AG4" s="10">
        <v>0</v>
      </c>
      <c r="AH4" s="10">
        <v>0</v>
      </c>
      <c r="AI4" s="10">
        <v>0</v>
      </c>
      <c r="AJ4" s="10">
        <v>0</v>
      </c>
      <c r="AK4" s="10">
        <v>0</v>
      </c>
      <c r="AL4" s="10">
        <v>0</v>
      </c>
      <c r="AM4" s="10">
        <v>0</v>
      </c>
      <c r="AN4" s="10">
        <v>0</v>
      </c>
      <c r="AO4" s="10">
        <v>0</v>
      </c>
      <c r="AP4" s="7">
        <v>0</v>
      </c>
    </row>
    <row r="5" spans="1:42" x14ac:dyDescent="0.35">
      <c r="A5" s="4" t="s">
        <v>4</v>
      </c>
      <c r="B5" s="7">
        <v>119</v>
      </c>
      <c r="D5" s="13" t="s">
        <v>18</v>
      </c>
      <c r="E5" s="7">
        <f>2*B4/B6^2</f>
        <v>0.99999999999999978</v>
      </c>
      <c r="X5" s="4">
        <v>0</v>
      </c>
      <c r="Y5" s="10">
        <v>0</v>
      </c>
      <c r="Z5" s="10">
        <v>-5.8638196228487323E-2</v>
      </c>
      <c r="AA5" s="10">
        <v>1.1172763924569746</v>
      </c>
      <c r="AB5" s="10">
        <v>-5.8638196228487323E-2</v>
      </c>
      <c r="AC5" s="10">
        <v>0</v>
      </c>
      <c r="AD5" s="10">
        <v>0</v>
      </c>
      <c r="AE5" s="10">
        <v>0</v>
      </c>
      <c r="AF5" s="10">
        <v>0</v>
      </c>
      <c r="AG5" s="10">
        <v>0</v>
      </c>
      <c r="AH5" s="10">
        <v>0</v>
      </c>
      <c r="AI5" s="10">
        <v>0</v>
      </c>
      <c r="AJ5" s="10">
        <v>0</v>
      </c>
      <c r="AK5" s="10">
        <v>0</v>
      </c>
      <c r="AL5" s="10">
        <v>0</v>
      </c>
      <c r="AM5" s="10">
        <v>0</v>
      </c>
      <c r="AN5" s="10">
        <v>0</v>
      </c>
      <c r="AO5" s="10">
        <v>0</v>
      </c>
      <c r="AP5" s="7">
        <v>0</v>
      </c>
    </row>
    <row r="6" spans="1:42" x14ac:dyDescent="0.35">
      <c r="A6" s="4" t="s">
        <v>5</v>
      </c>
      <c r="B6" s="5">
        <v>0.1</v>
      </c>
      <c r="D6" s="13" t="s">
        <v>19</v>
      </c>
      <c r="E6" s="7">
        <f>2*(B4-B3)/(B6^2)</f>
        <v>-2.9999999999999991</v>
      </c>
      <c r="X6" s="4">
        <v>0</v>
      </c>
      <c r="Y6" s="10">
        <v>0</v>
      </c>
      <c r="Z6" s="10">
        <v>0</v>
      </c>
      <c r="AA6" s="10">
        <v>-5.8638196228487323E-2</v>
      </c>
      <c r="AB6" s="10">
        <v>1.1172763924569746</v>
      </c>
      <c r="AC6" s="10">
        <v>-5.8638196228487323E-2</v>
      </c>
      <c r="AD6" s="10">
        <v>0</v>
      </c>
      <c r="AE6" s="10">
        <v>0</v>
      </c>
      <c r="AF6" s="10">
        <v>0</v>
      </c>
      <c r="AG6" s="10">
        <v>0</v>
      </c>
      <c r="AH6" s="10">
        <v>0</v>
      </c>
      <c r="AI6" s="10">
        <v>0</v>
      </c>
      <c r="AJ6" s="10">
        <v>0</v>
      </c>
      <c r="AK6" s="10">
        <v>0</v>
      </c>
      <c r="AL6" s="10">
        <v>0</v>
      </c>
      <c r="AM6" s="10">
        <v>0</v>
      </c>
      <c r="AN6" s="10">
        <v>0</v>
      </c>
      <c r="AO6" s="10">
        <v>0</v>
      </c>
      <c r="AP6" s="7">
        <v>0</v>
      </c>
    </row>
    <row r="7" spans="1:42" x14ac:dyDescent="0.35">
      <c r="A7" s="4" t="s">
        <v>6</v>
      </c>
      <c r="B7" s="7">
        <v>7</v>
      </c>
      <c r="D7" s="13" t="s">
        <v>30</v>
      </c>
      <c r="E7" s="7">
        <f>-0.5*(E6-1)</f>
        <v>1.9999999999999996</v>
      </c>
      <c r="X7" s="4">
        <v>0</v>
      </c>
      <c r="Y7" s="10">
        <v>0</v>
      </c>
      <c r="Z7" s="10">
        <v>0</v>
      </c>
      <c r="AA7" s="10">
        <v>0</v>
      </c>
      <c r="AB7" s="10">
        <v>-5.8638196228487323E-2</v>
      </c>
      <c r="AC7" s="10">
        <v>1.1172763924569746</v>
      </c>
      <c r="AD7" s="10">
        <v>-5.8638196228487323E-2</v>
      </c>
      <c r="AE7" s="10">
        <v>0</v>
      </c>
      <c r="AF7" s="10">
        <v>0</v>
      </c>
      <c r="AG7" s="10">
        <v>0</v>
      </c>
      <c r="AH7" s="10">
        <v>0</v>
      </c>
      <c r="AI7" s="10">
        <v>0</v>
      </c>
      <c r="AJ7" s="10">
        <v>0</v>
      </c>
      <c r="AK7" s="10">
        <v>0</v>
      </c>
      <c r="AL7" s="10">
        <v>0</v>
      </c>
      <c r="AM7" s="10">
        <v>0</v>
      </c>
      <c r="AN7" s="10">
        <v>0</v>
      </c>
      <c r="AO7" s="10">
        <v>0</v>
      </c>
      <c r="AP7" s="7">
        <v>0</v>
      </c>
    </row>
    <row r="8" spans="1:42" ht="15" thickBot="1" x14ac:dyDescent="0.4">
      <c r="A8" s="4" t="s">
        <v>8</v>
      </c>
      <c r="B8" s="7">
        <v>-0.05</v>
      </c>
      <c r="D8" s="15" t="s">
        <v>31</v>
      </c>
      <c r="E8" s="9">
        <f>-((E6-1)^2/4+E5)</f>
        <v>-4.9999999999999982</v>
      </c>
      <c r="X8" s="4">
        <v>0</v>
      </c>
      <c r="Y8" s="10">
        <v>0</v>
      </c>
      <c r="Z8" s="10">
        <v>0</v>
      </c>
      <c r="AA8" s="10">
        <v>0</v>
      </c>
      <c r="AB8" s="10">
        <v>0</v>
      </c>
      <c r="AC8" s="10">
        <v>-5.8638196228487323E-2</v>
      </c>
      <c r="AD8" s="10">
        <v>1.1172763924569746</v>
      </c>
      <c r="AE8" s="10">
        <v>-5.8638196228487323E-2</v>
      </c>
      <c r="AF8" s="10">
        <v>0</v>
      </c>
      <c r="AG8" s="10">
        <v>0</v>
      </c>
      <c r="AH8" s="10">
        <v>0</v>
      </c>
      <c r="AI8" s="10">
        <v>0</v>
      </c>
      <c r="AJ8" s="10">
        <v>0</v>
      </c>
      <c r="AK8" s="10">
        <v>0</v>
      </c>
      <c r="AL8" s="10">
        <v>0</v>
      </c>
      <c r="AM8" s="10">
        <v>0</v>
      </c>
      <c r="AN8" s="10">
        <v>0</v>
      </c>
      <c r="AO8" s="10">
        <v>0</v>
      </c>
      <c r="AP8" s="7">
        <v>0</v>
      </c>
    </row>
    <row r="9" spans="1:42" ht="15" thickBot="1" x14ac:dyDescent="0.4">
      <c r="A9" s="8" t="s">
        <v>7</v>
      </c>
      <c r="B9" s="9">
        <v>0.5</v>
      </c>
      <c r="X9" s="4">
        <v>0</v>
      </c>
      <c r="Y9" s="10">
        <v>0</v>
      </c>
      <c r="Z9" s="10">
        <v>0</v>
      </c>
      <c r="AA9" s="10">
        <v>0</v>
      </c>
      <c r="AB9" s="10">
        <v>0</v>
      </c>
      <c r="AC9" s="10">
        <v>0</v>
      </c>
      <c r="AD9" s="10">
        <v>-5.8638196228487323E-2</v>
      </c>
      <c r="AE9" s="10">
        <v>1.1172763924569746</v>
      </c>
      <c r="AF9" s="10">
        <v>-5.8638196228487323E-2</v>
      </c>
      <c r="AG9" s="10">
        <v>0</v>
      </c>
      <c r="AH9" s="10">
        <v>0</v>
      </c>
      <c r="AI9" s="10">
        <v>0</v>
      </c>
      <c r="AJ9" s="10">
        <v>0</v>
      </c>
      <c r="AK9" s="10">
        <v>0</v>
      </c>
      <c r="AL9" s="10">
        <v>0</v>
      </c>
      <c r="AM9" s="10">
        <v>0</v>
      </c>
      <c r="AN9" s="10">
        <v>0</v>
      </c>
      <c r="AO9" s="10">
        <v>0</v>
      </c>
      <c r="AP9" s="7">
        <v>0</v>
      </c>
    </row>
    <row r="10" spans="1:42" ht="15" thickBot="1" x14ac:dyDescent="0.4">
      <c r="X10" s="4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>
        <v>0</v>
      </c>
      <c r="AE10" s="10">
        <v>-5.8638196228487323E-2</v>
      </c>
      <c r="AF10" s="10">
        <v>1.1172763924569746</v>
      </c>
      <c r="AG10" s="10">
        <v>-5.8638196228487323E-2</v>
      </c>
      <c r="AH10" s="10">
        <v>0</v>
      </c>
      <c r="AI10" s="10">
        <v>0</v>
      </c>
      <c r="AJ10" s="10">
        <v>0</v>
      </c>
      <c r="AK10" s="10">
        <v>0</v>
      </c>
      <c r="AL10" s="10">
        <v>0</v>
      </c>
      <c r="AM10" s="10">
        <v>0</v>
      </c>
      <c r="AN10" s="10">
        <v>0</v>
      </c>
      <c r="AO10" s="10">
        <v>0</v>
      </c>
      <c r="AP10" s="7">
        <v>0</v>
      </c>
    </row>
    <row r="11" spans="1:42" ht="15" thickBot="1" x14ac:dyDescent="0.4">
      <c r="A11" s="56" t="s">
        <v>14</v>
      </c>
      <c r="B11" s="59">
        <v>0</v>
      </c>
      <c r="C11" s="57">
        <v>1</v>
      </c>
      <c r="D11" s="57">
        <v>2</v>
      </c>
      <c r="E11" s="57">
        <v>3</v>
      </c>
      <c r="F11" s="57">
        <v>4</v>
      </c>
      <c r="G11" s="57">
        <v>5</v>
      </c>
      <c r="H11" s="57">
        <v>6</v>
      </c>
      <c r="I11" s="57">
        <v>7</v>
      </c>
      <c r="J11" s="57">
        <v>8</v>
      </c>
      <c r="K11" s="57">
        <v>9</v>
      </c>
      <c r="L11" s="57">
        <v>10</v>
      </c>
      <c r="M11" s="57">
        <v>11</v>
      </c>
      <c r="N11" s="57">
        <v>12</v>
      </c>
      <c r="O11" s="57">
        <v>13</v>
      </c>
      <c r="P11" s="57">
        <v>14</v>
      </c>
      <c r="Q11" s="57">
        <v>15</v>
      </c>
      <c r="R11" s="57">
        <v>16</v>
      </c>
      <c r="S11" s="57">
        <v>17</v>
      </c>
      <c r="T11" s="57">
        <v>18</v>
      </c>
      <c r="U11" s="57">
        <v>19</v>
      </c>
      <c r="V11" s="58">
        <v>20</v>
      </c>
      <c r="X11" s="4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>
        <v>0</v>
      </c>
      <c r="AE11" s="10">
        <v>0</v>
      </c>
      <c r="AF11" s="10">
        <v>-5.8638196228487323E-2</v>
      </c>
      <c r="AG11" s="10">
        <v>1.1172763924569746</v>
      </c>
      <c r="AH11" s="10">
        <v>-5.8638196228487323E-2</v>
      </c>
      <c r="AI11" s="10">
        <v>0</v>
      </c>
      <c r="AJ11" s="10">
        <v>0</v>
      </c>
      <c r="AK11" s="10">
        <v>0</v>
      </c>
      <c r="AL11" s="10">
        <v>0</v>
      </c>
      <c r="AM11" s="10">
        <v>0</v>
      </c>
      <c r="AN11" s="10">
        <v>0</v>
      </c>
      <c r="AO11" s="10">
        <v>0</v>
      </c>
      <c r="AP11" s="7">
        <v>0</v>
      </c>
    </row>
    <row r="12" spans="1:42" x14ac:dyDescent="0.35">
      <c r="A12" s="21">
        <v>9.5890410958904133E-5</v>
      </c>
      <c r="B12" s="16">
        <v>0</v>
      </c>
      <c r="C12" s="11">
        <v>4.948751079976607E-6</v>
      </c>
      <c r="D12" s="11">
        <v>1.8142535934977644E-5</v>
      </c>
      <c r="E12" s="11">
        <v>5.7326942767941947E-5</v>
      </c>
      <c r="F12" s="11">
        <v>1.6420367934503314E-4</v>
      </c>
      <c r="G12" s="11">
        <v>4.2560662739630307E-4</v>
      </c>
      <c r="H12" s="11">
        <v>9.9407410246318351E-4</v>
      </c>
      <c r="I12" s="11">
        <v>2.0867685068965856E-3</v>
      </c>
      <c r="J12" s="11">
        <v>3.9382632178381546E-3</v>
      </c>
      <c r="K12" s="11">
        <v>6.7128715071604582E-3</v>
      </c>
      <c r="L12" s="37">
        <v>1.0441643416379856E-2</v>
      </c>
      <c r="M12" s="11">
        <v>1.5086493367114828E-2</v>
      </c>
      <c r="N12" s="11">
        <v>2.0829317529346761E-2</v>
      </c>
      <c r="O12" s="11">
        <v>2.8727944166666398E-2</v>
      </c>
      <c r="P12" s="11">
        <v>4.2017028182810175E-2</v>
      </c>
      <c r="Q12" s="11">
        <v>6.8282451643719891E-2</v>
      </c>
      <c r="R12" s="11">
        <v>0.12187030116336298</v>
      </c>
      <c r="S12" s="11">
        <v>0.22381710518272471</v>
      </c>
      <c r="T12" s="11">
        <v>0.39485269110166404</v>
      </c>
      <c r="U12" s="11">
        <v>0.6402047015442065</v>
      </c>
      <c r="V12" s="18">
        <v>0.93553136254382407</v>
      </c>
      <c r="X12" s="4">
        <v>0</v>
      </c>
      <c r="Y12" s="10">
        <v>0</v>
      </c>
      <c r="Z12" s="10">
        <v>0</v>
      </c>
      <c r="AA12" s="10">
        <v>0</v>
      </c>
      <c r="AB12" s="10">
        <v>0</v>
      </c>
      <c r="AC12" s="10">
        <v>0</v>
      </c>
      <c r="AD12" s="10">
        <v>0</v>
      </c>
      <c r="AE12" s="10">
        <v>0</v>
      </c>
      <c r="AF12" s="10">
        <v>0</v>
      </c>
      <c r="AG12" s="10">
        <v>-5.8638196228487323E-2</v>
      </c>
      <c r="AH12" s="10">
        <v>1.1172763924569746</v>
      </c>
      <c r="AI12" s="10">
        <v>-5.8638196228487323E-2</v>
      </c>
      <c r="AJ12" s="10">
        <v>0</v>
      </c>
      <c r="AK12" s="10">
        <v>0</v>
      </c>
      <c r="AL12" s="10">
        <v>0</v>
      </c>
      <c r="AM12" s="10">
        <v>0</v>
      </c>
      <c r="AN12" s="10">
        <v>0</v>
      </c>
      <c r="AO12" s="10">
        <v>0</v>
      </c>
      <c r="AP12" s="7">
        <v>0</v>
      </c>
    </row>
    <row r="13" spans="1:42" x14ac:dyDescent="0.35">
      <c r="A13" s="22">
        <v>9.1894977168949799E-5</v>
      </c>
      <c r="B13" s="17">
        <v>0</v>
      </c>
      <c r="C13" s="10">
        <v>4.0450682000856006E-6</v>
      </c>
      <c r="D13" s="10">
        <v>1.5256266985826469E-5</v>
      </c>
      <c r="E13" s="10">
        <v>4.9698496825096455E-5</v>
      </c>
      <c r="F13" s="10">
        <v>1.4654185875049043E-4</v>
      </c>
      <c r="G13" s="10">
        <v>3.9005893911978176E-4</v>
      </c>
      <c r="H13" s="10">
        <v>9.3273219097529973E-4</v>
      </c>
      <c r="I13" s="10">
        <v>1.9972869450548833E-3</v>
      </c>
      <c r="J13" s="10">
        <v>3.8290358398809761E-3</v>
      </c>
      <c r="K13" s="10">
        <v>6.6004054316367187E-3</v>
      </c>
      <c r="L13" s="10">
        <v>1.0335577554526118E-2</v>
      </c>
      <c r="M13" s="10">
        <v>1.4963490267367477E-2</v>
      </c>
      <c r="N13" s="10">
        <v>2.0591090491935183E-2</v>
      </c>
      <c r="O13" s="10">
        <v>2.8125547953581551E-2</v>
      </c>
      <c r="P13" s="10">
        <v>4.0542650754938493E-2</v>
      </c>
      <c r="Q13" s="10">
        <v>6.5127049535216142E-2</v>
      </c>
      <c r="R13" s="10">
        <v>0.11620039967717985</v>
      </c>
      <c r="S13" s="10">
        <v>0.21560776766274223</v>
      </c>
      <c r="T13" s="10">
        <v>0.38592618402990303</v>
      </c>
      <c r="U13" s="10">
        <v>0.63415842246867293</v>
      </c>
      <c r="V13" s="19">
        <v>0.93552762469767381</v>
      </c>
      <c r="X13" s="4">
        <v>0</v>
      </c>
      <c r="Y13" s="10">
        <v>0</v>
      </c>
      <c r="Z13" s="10">
        <v>0</v>
      </c>
      <c r="AA13" s="10">
        <v>0</v>
      </c>
      <c r="AB13" s="10">
        <v>0</v>
      </c>
      <c r="AC13" s="10">
        <v>0</v>
      </c>
      <c r="AD13" s="10">
        <v>0</v>
      </c>
      <c r="AE13" s="10">
        <v>0</v>
      </c>
      <c r="AF13" s="10">
        <v>0</v>
      </c>
      <c r="AG13" s="10">
        <v>0</v>
      </c>
      <c r="AH13" s="10">
        <v>-5.8638196228487323E-2</v>
      </c>
      <c r="AI13" s="10">
        <v>1.1172763924569746</v>
      </c>
      <c r="AJ13" s="10">
        <v>-5.8638196228487323E-2</v>
      </c>
      <c r="AK13" s="10">
        <v>0</v>
      </c>
      <c r="AL13" s="10">
        <v>0</v>
      </c>
      <c r="AM13" s="10">
        <v>0</v>
      </c>
      <c r="AN13" s="10">
        <v>0</v>
      </c>
      <c r="AO13" s="10">
        <v>0</v>
      </c>
      <c r="AP13" s="7">
        <v>0</v>
      </c>
    </row>
    <row r="14" spans="1:42" x14ac:dyDescent="0.35">
      <c r="A14" s="22">
        <v>8.7899543378995451E-5</v>
      </c>
      <c r="B14" s="17">
        <v>0</v>
      </c>
      <c r="C14" s="10">
        <v>3.2636443575600292E-6</v>
      </c>
      <c r="D14" s="10">
        <v>1.2687349806314886E-5</v>
      </c>
      <c r="E14" s="10">
        <v>4.2689645655475655E-5</v>
      </c>
      <c r="F14" s="10">
        <v>1.2981786891929156E-4</v>
      </c>
      <c r="G14" s="10">
        <v>3.5547879049242748E-4</v>
      </c>
      <c r="H14" s="10">
        <v>8.7170407858174631E-4</v>
      </c>
      <c r="I14" s="10">
        <v>1.9068048508275759E-3</v>
      </c>
      <c r="J14" s="10">
        <v>3.7177687393192111E-3</v>
      </c>
      <c r="K14" s="10">
        <v>6.4866310859419346E-3</v>
      </c>
      <c r="L14" s="10">
        <v>1.0231967939480668E-2</v>
      </c>
      <c r="M14" s="10">
        <v>1.4851494663235858E-2</v>
      </c>
      <c r="N14" s="10">
        <v>2.0381276733930118E-2</v>
      </c>
      <c r="O14" s="10">
        <v>2.7582308867905178E-2</v>
      </c>
      <c r="P14" s="10">
        <v>3.9164948668172737E-2</v>
      </c>
      <c r="Q14" s="10">
        <v>6.2075252692549238E-2</v>
      </c>
      <c r="R14" s="10">
        <v>0.11054112648572265</v>
      </c>
      <c r="S14" s="10">
        <v>0.20718470270386621</v>
      </c>
      <c r="T14" s="10">
        <v>0.37656191098138314</v>
      </c>
      <c r="U14" s="10">
        <v>0.62772108680591099</v>
      </c>
      <c r="V14" s="19">
        <v>0.93552388686645771</v>
      </c>
      <c r="X14" s="4">
        <v>0</v>
      </c>
      <c r="Y14" s="10">
        <v>0</v>
      </c>
      <c r="Z14" s="10">
        <v>0</v>
      </c>
      <c r="AA14" s="10">
        <v>0</v>
      </c>
      <c r="AB14" s="10">
        <v>0</v>
      </c>
      <c r="AC14" s="10">
        <v>0</v>
      </c>
      <c r="AD14" s="10">
        <v>0</v>
      </c>
      <c r="AE14" s="10">
        <v>0</v>
      </c>
      <c r="AF14" s="10">
        <v>0</v>
      </c>
      <c r="AG14" s="10">
        <v>0</v>
      </c>
      <c r="AH14" s="10">
        <v>0</v>
      </c>
      <c r="AI14" s="10">
        <v>-5.8638196228487323E-2</v>
      </c>
      <c r="AJ14" s="10">
        <v>1.1172763924569746</v>
      </c>
      <c r="AK14" s="10">
        <v>-5.8638196228487323E-2</v>
      </c>
      <c r="AL14" s="10">
        <v>0</v>
      </c>
      <c r="AM14" s="10">
        <v>0</v>
      </c>
      <c r="AN14" s="10">
        <v>0</v>
      </c>
      <c r="AO14" s="10">
        <v>0</v>
      </c>
      <c r="AP14" s="7">
        <v>0</v>
      </c>
    </row>
    <row r="15" spans="1:42" x14ac:dyDescent="0.35">
      <c r="A15" s="22">
        <v>8.3904109589041118E-5</v>
      </c>
      <c r="B15" s="17">
        <v>0</v>
      </c>
      <c r="C15" s="10">
        <v>2.5956948216176811E-6</v>
      </c>
      <c r="D15" s="10">
        <v>1.0422359977012094E-5</v>
      </c>
      <c r="E15" s="10">
        <v>3.6296961040503084E-5</v>
      </c>
      <c r="F15" s="10">
        <v>1.140647557766089E-4</v>
      </c>
      <c r="G15" s="10">
        <v>3.2194919948719708E-4</v>
      </c>
      <c r="H15" s="10">
        <v>8.1107388804073149E-4</v>
      </c>
      <c r="I15" s="10">
        <v>1.8152940267544551E-3</v>
      </c>
      <c r="J15" s="10">
        <v>3.6042519878416958E-3</v>
      </c>
      <c r="K15" s="10">
        <v>6.3711955864680266E-3</v>
      </c>
      <c r="L15" s="10">
        <v>1.0130270585224118E-2</v>
      </c>
      <c r="M15" s="10">
        <v>1.4749474993645382E-2</v>
      </c>
      <c r="N15" s="10">
        <v>2.0198240013874894E-2</v>
      </c>
      <c r="O15" s="10">
        <v>2.7097213880337416E-2</v>
      </c>
      <c r="P15" s="10">
        <v>3.7887259302725657E-2</v>
      </c>
      <c r="Q15" s="10">
        <v>5.9139010700396753E-2</v>
      </c>
      <c r="R15" s="10">
        <v>0.10490907217221909</v>
      </c>
      <c r="S15" s="10">
        <v>0.19854896807641118</v>
      </c>
      <c r="T15" s="10">
        <v>0.3667267235920405</v>
      </c>
      <c r="U15" s="10">
        <v>0.62084914747250153</v>
      </c>
      <c r="V15" s="19">
        <v>0.935520149050176</v>
      </c>
      <c r="X15" s="4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>
        <v>0</v>
      </c>
      <c r="AE15" s="10">
        <v>0</v>
      </c>
      <c r="AF15" s="10">
        <v>0</v>
      </c>
      <c r="AG15" s="10">
        <v>0</v>
      </c>
      <c r="AH15" s="10">
        <v>0</v>
      </c>
      <c r="AI15" s="10">
        <v>0</v>
      </c>
      <c r="AJ15" s="10">
        <v>-5.8638196228487323E-2</v>
      </c>
      <c r="AK15" s="10">
        <v>1.1172763924569746</v>
      </c>
      <c r="AL15" s="10">
        <v>-5.8638196228487323E-2</v>
      </c>
      <c r="AM15" s="10">
        <v>0</v>
      </c>
      <c r="AN15" s="10">
        <v>0</v>
      </c>
      <c r="AO15" s="10">
        <v>0</v>
      </c>
      <c r="AP15" s="7">
        <v>0</v>
      </c>
    </row>
    <row r="16" spans="1:42" x14ac:dyDescent="0.35">
      <c r="A16" s="22">
        <v>7.9908675799086784E-5</v>
      </c>
      <c r="B16" s="17">
        <v>0</v>
      </c>
      <c r="C16" s="10">
        <v>2.0319969462182968E-6</v>
      </c>
      <c r="D16" s="10">
        <v>8.4461752525302055E-6</v>
      </c>
      <c r="E16" s="10">
        <v>3.0513739512379326E-5</v>
      </c>
      <c r="F16" s="10">
        <v>9.9313611907156864E-5</v>
      </c>
      <c r="G16" s="10">
        <v>2.895588685791797E-4</v>
      </c>
      <c r="H16" s="10">
        <v>7.5093985701242246E-4</v>
      </c>
      <c r="I16" s="10">
        <v>1.7227349589492933E-3</v>
      </c>
      <c r="J16" s="10">
        <v>3.4882696433171782E-3</v>
      </c>
      <c r="K16" s="10">
        <v>6.2537503453521685E-3</v>
      </c>
      <c r="L16" s="10">
        <v>1.00299791467943E-2</v>
      </c>
      <c r="M16" s="10">
        <v>1.465642170872992E-2</v>
      </c>
      <c r="N16" s="10">
        <v>2.0040209309107406E-2</v>
      </c>
      <c r="O16" s="10">
        <v>2.6668801125245018E-2</v>
      </c>
      <c r="P16" s="10">
        <v>3.6712357086539207E-2</v>
      </c>
      <c r="Q16" s="10">
        <v>5.6330672921677052E-2</v>
      </c>
      <c r="R16" s="10">
        <v>9.9323314530070081E-2</v>
      </c>
      <c r="S16" s="10">
        <v>0.18970412760354255</v>
      </c>
      <c r="T16" s="10">
        <v>0.35638460748614154</v>
      </c>
      <c r="U16" s="10">
        <v>0.61349208066963024</v>
      </c>
      <c r="V16" s="19">
        <v>0.93551641124882834</v>
      </c>
      <c r="X16" s="4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>
        <v>0</v>
      </c>
      <c r="AE16" s="10">
        <v>0</v>
      </c>
      <c r="AF16" s="10">
        <v>0</v>
      </c>
      <c r="AG16" s="10">
        <v>0</v>
      </c>
      <c r="AH16" s="10">
        <v>0</v>
      </c>
      <c r="AI16" s="10">
        <v>0</v>
      </c>
      <c r="AJ16" s="10">
        <v>0</v>
      </c>
      <c r="AK16" s="10">
        <v>-5.8638196228487323E-2</v>
      </c>
      <c r="AL16" s="10">
        <v>1.1172763924569746</v>
      </c>
      <c r="AM16" s="10">
        <v>-5.8638196228487323E-2</v>
      </c>
      <c r="AN16" s="10">
        <v>0</v>
      </c>
      <c r="AO16" s="10">
        <v>0</v>
      </c>
      <c r="AP16" s="7">
        <v>0</v>
      </c>
    </row>
    <row r="17" spans="1:42" x14ac:dyDescent="0.35">
      <c r="A17" s="22">
        <v>7.5913242009132437E-5</v>
      </c>
      <c r="B17" s="17">
        <v>0</v>
      </c>
      <c r="C17" s="10">
        <v>1.562995560623269E-6</v>
      </c>
      <c r="D17" s="10">
        <v>6.7420330313151878E-6</v>
      </c>
      <c r="E17" s="10">
        <v>2.5329666853906426E-5</v>
      </c>
      <c r="F17" s="10">
        <v>8.5592770950591957E-5</v>
      </c>
      <c r="G17" s="10">
        <v>2.5840201573271794E-4</v>
      </c>
      <c r="H17" s="10">
        <v>6.9141610282342006E-4</v>
      </c>
      <c r="I17" s="10">
        <v>1.6291181432794069E-3</v>
      </c>
      <c r="J17" s="10">
        <v>3.3695965532122923E-3</v>
      </c>
      <c r="K17" s="10">
        <v>6.1339478508630396E-3</v>
      </c>
      <c r="L17" s="10">
        <v>9.9306305125729365E-3</v>
      </c>
      <c r="M17" s="10">
        <v>1.4571364254990237E-2</v>
      </c>
      <c r="N17" s="10">
        <v>1.990529985860514E-2</v>
      </c>
      <c r="O17" s="10">
        <v>2.6295140667612352E-2</v>
      </c>
      <c r="P17" s="10">
        <v>3.5642322103197059E-2</v>
      </c>
      <c r="Q17" s="10">
        <v>5.3662831978785547E-2</v>
      </c>
      <c r="R17" s="10">
        <v>9.380565674339493E-2</v>
      </c>
      <c r="S17" s="10">
        <v>0.18065695935279238</v>
      </c>
      <c r="T17" s="10">
        <v>0.34549656498585457</v>
      </c>
      <c r="U17" s="10">
        <v>0.6055909206284974</v>
      </c>
      <c r="V17" s="19">
        <v>0.93551267346241485</v>
      </c>
      <c r="X17" s="4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>
        <v>0</v>
      </c>
      <c r="AE17" s="10">
        <v>0</v>
      </c>
      <c r="AF17" s="10">
        <v>0</v>
      </c>
      <c r="AG17" s="10">
        <v>0</v>
      </c>
      <c r="AH17" s="10">
        <v>0</v>
      </c>
      <c r="AI17" s="10">
        <v>0</v>
      </c>
      <c r="AJ17" s="10">
        <v>0</v>
      </c>
      <c r="AK17" s="10">
        <v>0</v>
      </c>
      <c r="AL17" s="10">
        <v>-5.8638196228487323E-2</v>
      </c>
      <c r="AM17" s="10">
        <v>1.1172763924569746</v>
      </c>
      <c r="AN17" s="10">
        <v>-5.8638196228487323E-2</v>
      </c>
      <c r="AO17" s="10">
        <v>0</v>
      </c>
      <c r="AP17" s="7">
        <v>0</v>
      </c>
    </row>
    <row r="18" spans="1:42" x14ac:dyDescent="0.35">
      <c r="A18" s="22">
        <v>7.1917808219178103E-5</v>
      </c>
      <c r="B18" s="17">
        <v>0</v>
      </c>
      <c r="C18" s="10">
        <v>1.1789258326667186E-6</v>
      </c>
      <c r="D18" s="10">
        <v>5.2916314186051692E-6</v>
      </c>
      <c r="E18" s="10">
        <v>2.073049898420076E-5</v>
      </c>
      <c r="F18" s="10">
        <v>7.2926866003909885E-5</v>
      </c>
      <c r="G18" s="10">
        <v>2.2857802281238016E-4</v>
      </c>
      <c r="H18" s="10">
        <v>6.3263467730511529E-4</v>
      </c>
      <c r="I18" s="10">
        <v>1.5344459721518399E-3</v>
      </c>
      <c r="J18" s="10">
        <v>3.2479945970677994E-3</v>
      </c>
      <c r="K18" s="10">
        <v>6.0114373319863496E-3</v>
      </c>
      <c r="L18" s="10">
        <v>9.8318100846133474E-3</v>
      </c>
      <c r="M18" s="10">
        <v>1.4493388710456476E-2</v>
      </c>
      <c r="N18" s="10">
        <v>1.9791539403173124E-2</v>
      </c>
      <c r="O18" s="10">
        <v>2.5973825047748283E-2</v>
      </c>
      <c r="P18" s="10">
        <v>3.4678400077079251E-2</v>
      </c>
      <c r="Q18" s="10">
        <v>5.1148113197024753E-2</v>
      </c>
      <c r="R18" s="10">
        <v>8.8380848008939056E-2</v>
      </c>
      <c r="S18" s="10">
        <v>0.17141833156505876</v>
      </c>
      <c r="T18" s="10">
        <v>0.33402058129041262</v>
      </c>
      <c r="U18" s="10">
        <v>0.59707641505393017</v>
      </c>
      <c r="V18" s="19">
        <v>0.93550893569093541</v>
      </c>
      <c r="X18" s="4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>
        <v>0</v>
      </c>
      <c r="AE18" s="10">
        <v>0</v>
      </c>
      <c r="AF18" s="10">
        <v>0</v>
      </c>
      <c r="AG18" s="10">
        <v>0</v>
      </c>
      <c r="AH18" s="10">
        <v>0</v>
      </c>
      <c r="AI18" s="10">
        <v>0</v>
      </c>
      <c r="AJ18" s="10">
        <v>0</v>
      </c>
      <c r="AK18" s="10">
        <v>0</v>
      </c>
      <c r="AL18" s="10">
        <v>0</v>
      </c>
      <c r="AM18" s="10">
        <v>-5.8638196228487323E-2</v>
      </c>
      <c r="AN18" s="10">
        <v>1.1172763924569746</v>
      </c>
      <c r="AO18" s="10">
        <v>-5.8638196228487323E-2</v>
      </c>
      <c r="AP18" s="7">
        <v>0</v>
      </c>
    </row>
    <row r="19" spans="1:42" x14ac:dyDescent="0.35">
      <c r="A19" s="22">
        <v>6.7922374429223755E-5</v>
      </c>
      <c r="B19" s="17">
        <v>0</v>
      </c>
      <c r="C19" s="10">
        <v>8.6995205302961859E-7</v>
      </c>
      <c r="D19" s="10">
        <v>4.075279946066075E-6</v>
      </c>
      <c r="E19" s="10">
        <v>1.6697776159025312E-5</v>
      </c>
      <c r="F19" s="10">
        <v>6.1335741470002064E-5</v>
      </c>
      <c r="G19" s="10">
        <v>2.0019083187756501E-4</v>
      </c>
      <c r="H19" s="10">
        <v>5.7474793064014689E-4</v>
      </c>
      <c r="I19" s="10">
        <v>1.4387353706503095E-3</v>
      </c>
      <c r="J19" s="10">
        <v>3.1232082919578756E-3</v>
      </c>
      <c r="K19" s="10">
        <v>5.8858591303027992E-3</v>
      </c>
      <c r="L19" s="10">
        <v>9.7331567687906854E-3</v>
      </c>
      <c r="M19" s="10">
        <v>1.4421655602626609E-2</v>
      </c>
      <c r="N19" s="10">
        <v>1.9696899463968187E-2</v>
      </c>
      <c r="O19" s="10">
        <v>2.5701972398472845E-2</v>
      </c>
      <c r="P19" s="10">
        <v>3.3820857785599963E-2</v>
      </c>
      <c r="Q19" s="10">
        <v>4.8798900279356051E-2</v>
      </c>
      <c r="R19" s="10">
        <v>8.3076765246998155E-2</v>
      </c>
      <c r="S19" s="10">
        <v>0.16200427985051502</v>
      </c>
      <c r="T19" s="10">
        <v>0.3219117298622694</v>
      </c>
      <c r="U19" s="10">
        <v>0.58786668568794798</v>
      </c>
      <c r="V19" s="19">
        <v>0.93550519793438991</v>
      </c>
      <c r="X19" s="4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>
        <v>0</v>
      </c>
      <c r="AE19" s="10">
        <v>0</v>
      </c>
      <c r="AF19" s="10">
        <v>0</v>
      </c>
      <c r="AG19" s="10">
        <v>0</v>
      </c>
      <c r="AH19" s="10">
        <v>0</v>
      </c>
      <c r="AI19" s="10">
        <v>0</v>
      </c>
      <c r="AJ19" s="10">
        <v>0</v>
      </c>
      <c r="AK19" s="10">
        <v>0</v>
      </c>
      <c r="AL19" s="10">
        <v>0</v>
      </c>
      <c r="AM19" s="10">
        <v>0</v>
      </c>
      <c r="AN19" s="10">
        <v>-5.8638196228487323E-2</v>
      </c>
      <c r="AO19" s="10">
        <v>1.1172763924569746</v>
      </c>
      <c r="AP19" s="7">
        <v>-5.8638196228487323E-2</v>
      </c>
    </row>
    <row r="20" spans="1:42" ht="15" thickBot="1" x14ac:dyDescent="0.4">
      <c r="A20" s="22">
        <v>6.3926940639269422E-5</v>
      </c>
      <c r="B20" s="17">
        <v>0</v>
      </c>
      <c r="C20" s="10">
        <v>6.263196156001573E-7</v>
      </c>
      <c r="D20" s="10">
        <v>3.0721053389255058E-6</v>
      </c>
      <c r="E20" s="10">
        <v>1.3208592214159039E-5</v>
      </c>
      <c r="F20" s="10">
        <v>5.0833212920606533E-5</v>
      </c>
      <c r="G20" s="10">
        <v>1.7334800078877351E-4</v>
      </c>
      <c r="H20" s="10">
        <v>5.1793118961323008E-4</v>
      </c>
      <c r="I20" s="10">
        <v>1.3420214309245065E-3</v>
      </c>
      <c r="J20" s="10">
        <v>2.9949596620593346E-3</v>
      </c>
      <c r="K20" s="10">
        <v>5.7568375573118068E-3</v>
      </c>
      <c r="L20" s="10">
        <v>9.6343677968263423E-3</v>
      </c>
      <c r="M20" s="10">
        <v>1.4355417352848371E-2</v>
      </c>
      <c r="N20" s="10">
        <v>1.9619331146972729E-2</v>
      </c>
      <c r="O20" s="10">
        <v>2.5476245047283439E-2</v>
      </c>
      <c r="P20" s="10">
        <v>3.3068839926008439E-2</v>
      </c>
      <c r="Q20" s="10">
        <v>4.6626987664646416E-2</v>
      </c>
      <c r="R20" s="10">
        <v>7.7924525497374678E-2</v>
      </c>
      <c r="S20" s="10">
        <v>0.15243732225225196</v>
      </c>
      <c r="T20" s="10">
        <v>0.30912250092094651</v>
      </c>
      <c r="U20" s="10">
        <v>0.57786423842819901</v>
      </c>
      <c r="V20" s="19">
        <v>0.93550146019277836</v>
      </c>
      <c r="X20" s="8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-5.8638196228487323E-2</v>
      </c>
      <c r="AP20" s="9">
        <v>1.1172763924569746</v>
      </c>
    </row>
    <row r="21" spans="1:42" x14ac:dyDescent="0.35">
      <c r="A21" s="22">
        <v>5.9931506849315081E-5</v>
      </c>
      <c r="B21" s="17">
        <v>0</v>
      </c>
      <c r="C21" s="10">
        <v>4.3851611872909334E-7</v>
      </c>
      <c r="D21" s="10">
        <v>2.2603163667845656E-6</v>
      </c>
      <c r="E21" s="10">
        <v>1.0235445879177189E-5</v>
      </c>
      <c r="F21" s="10">
        <v>4.1425678123036013E-5</v>
      </c>
      <c r="G21" s="10">
        <v>1.4815930703639327E-4</v>
      </c>
      <c r="H21" s="10">
        <v>4.6238573183231008E-4</v>
      </c>
      <c r="I21" s="10">
        <v>1.2443623759115631E-3</v>
      </c>
      <c r="J21" s="10">
        <v>2.8629422427592908E-3</v>
      </c>
      <c r="K21" s="10">
        <v>5.6239719456989273E-3</v>
      </c>
      <c r="L21" s="10">
        <v>9.5352036477666345E-3</v>
      </c>
      <c r="M21" s="10">
        <v>1.4294034714285421E-2</v>
      </c>
      <c r="N21" s="10">
        <v>1.9556804522857796E-2</v>
      </c>
      <c r="O21" s="10">
        <v>2.5292886426787356E-2</v>
      </c>
      <c r="P21" s="10">
        <v>3.2420235865207307E-2</v>
      </c>
      <c r="Q21" s="10">
        <v>4.4643151347744055E-2</v>
      </c>
      <c r="R21" s="10">
        <v>7.2958486793448032E-2</v>
      </c>
      <c r="S21" s="10">
        <v>0.14274804940856323</v>
      </c>
      <c r="T21" s="10">
        <v>0.29560347867286108</v>
      </c>
      <c r="U21" s="10">
        <v>0.56695211218148522</v>
      </c>
      <c r="V21" s="19">
        <v>0.93549772246610063</v>
      </c>
    </row>
    <row r="22" spans="1:42" ht="15" thickBot="1" x14ac:dyDescent="0.4">
      <c r="A22" s="22">
        <v>5.5936073059360741E-5</v>
      </c>
      <c r="B22" s="17">
        <v>0</v>
      </c>
      <c r="C22" s="10">
        <v>2.974360421718563E-7</v>
      </c>
      <c r="D22" s="10">
        <v>1.617529570402464E-6</v>
      </c>
      <c r="E22" s="10">
        <v>7.7462066782286442E-6</v>
      </c>
      <c r="F22" s="10">
        <v>3.3110595729191983E-5</v>
      </c>
      <c r="G22" s="10">
        <v>1.2473476298056259E-4</v>
      </c>
      <c r="H22" s="10">
        <v>4.083419975658247E-4</v>
      </c>
      <c r="I22" s="10">
        <v>1.1458462964216405E-3</v>
      </c>
      <c r="J22" s="10">
        <v>2.7268140496292813E-3</v>
      </c>
      <c r="K22" s="10">
        <v>5.4868254963136506E-3</v>
      </c>
      <c r="L22" s="10">
        <v>9.4354935412742091E-3</v>
      </c>
      <c r="M22" s="10">
        <v>1.4236991513706335E-2</v>
      </c>
      <c r="N22" s="10">
        <v>1.9507350118008568E-2</v>
      </c>
      <c r="O22" s="10">
        <v>2.5147778723096613E-2</v>
      </c>
      <c r="P22" s="10">
        <v>3.1871567477078609E-2</v>
      </c>
      <c r="Q22" s="10">
        <v>4.2856633054190081E-2</v>
      </c>
      <c r="R22" s="10">
        <v>6.8216080317228339E-2</v>
      </c>
      <c r="S22" s="10">
        <v>0.13297702274277443</v>
      </c>
      <c r="T22" s="10">
        <v>0.28130455473786958</v>
      </c>
      <c r="U22" s="10">
        <v>0.55498887881654213</v>
      </c>
      <c r="V22" s="19">
        <v>0.93549398475435674</v>
      </c>
      <c r="X22" s="26" t="s">
        <v>21</v>
      </c>
    </row>
    <row r="23" spans="1:42" x14ac:dyDescent="0.35">
      <c r="A23" s="22">
        <v>5.1940639269406407E-5</v>
      </c>
      <c r="B23" s="17">
        <v>0</v>
      </c>
      <c r="C23" s="10">
        <v>1.9454196537199006E-7</v>
      </c>
      <c r="D23" s="10">
        <v>1.1211543083959928E-6</v>
      </c>
      <c r="E23" s="10">
        <v>5.7042330551546433E-6</v>
      </c>
      <c r="F23" s="10">
        <v>2.5874867871955206E-5</v>
      </c>
      <c r="G23" s="10">
        <v>1.0318187789392608E-4</v>
      </c>
      <c r="H23" s="10">
        <v>3.5606291600585437E-4</v>
      </c>
      <c r="I23" s="10">
        <v>1.0466002615822961E-3</v>
      </c>
      <c r="J23" s="10">
        <v>2.5861892917894711E-3</v>
      </c>
      <c r="K23" s="10">
        <v>5.3449113611713879E-3</v>
      </c>
      <c r="L23" s="10">
        <v>9.3351422580566865E-3</v>
      </c>
      <c r="M23" s="10">
        <v>1.4183906974515045E-2</v>
      </c>
      <c r="N23" s="10">
        <v>1.9469100488274108E-2</v>
      </c>
      <c r="O23" s="10">
        <v>2.5036522881407543E-2</v>
      </c>
      <c r="P23" s="10">
        <v>3.1417912274926206E-2</v>
      </c>
      <c r="Q23" s="10">
        <v>4.1274538437662232E-2</v>
      </c>
      <c r="R23" s="10">
        <v>6.3737398252008887E-2</v>
      </c>
      <c r="S23" s="10">
        <v>0.12317700018399899</v>
      </c>
      <c r="T23" s="10">
        <v>0.26617695691200394</v>
      </c>
      <c r="U23" s="10">
        <v>0.54180209915547073</v>
      </c>
      <c r="V23" s="19">
        <v>0.93549024705754669</v>
      </c>
      <c r="X23" s="2">
        <v>0.88272360754302537</v>
      </c>
      <c r="Y23" s="11">
        <v>5.8638196228487323E-2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1">
        <v>0</v>
      </c>
      <c r="AL23" s="11">
        <v>0</v>
      </c>
      <c r="AM23" s="11">
        <v>0</v>
      </c>
      <c r="AN23" s="11">
        <v>0</v>
      </c>
      <c r="AO23" s="11">
        <v>0</v>
      </c>
      <c r="AP23" s="3">
        <v>0</v>
      </c>
    </row>
    <row r="24" spans="1:42" x14ac:dyDescent="0.35">
      <c r="A24" s="22">
        <v>4.7945205479452066E-5</v>
      </c>
      <c r="B24" s="17">
        <v>0</v>
      </c>
      <c r="C24" s="10">
        <v>1.2201393885677947E-7</v>
      </c>
      <c r="D24" s="10">
        <v>7.4883092353113262E-7</v>
      </c>
      <c r="E24" s="10">
        <v>4.0686841974609145E-6</v>
      </c>
      <c r="F24" s="10">
        <v>1.9693190965925293E-5</v>
      </c>
      <c r="G24" s="10">
        <v>8.3601974998518189E-5</v>
      </c>
      <c r="H24" s="10">
        <v>3.0584711964263417E-4</v>
      </c>
      <c r="I24" s="10">
        <v>9.4680261870848056E-4</v>
      </c>
      <c r="J24" s="10">
        <v>2.4406285469301121E-3</v>
      </c>
      <c r="K24" s="10">
        <v>5.1976751613912681E-3</v>
      </c>
      <c r="L24" s="10">
        <v>9.234139430575829E-3</v>
      </c>
      <c r="M24" s="10">
        <v>1.4134544887557873E-2</v>
      </c>
      <c r="N24" s="10">
        <v>1.9440329278923713E-2</v>
      </c>
      <c r="O24" s="10">
        <v>2.4954541243550322E-2</v>
      </c>
      <c r="P24" s="10">
        <v>3.1052878972067311E-2</v>
      </c>
      <c r="Q24" s="10">
        <v>3.9901159529943192E-2</v>
      </c>
      <c r="R24" s="10">
        <v>5.9564440308539676E-2</v>
      </c>
      <c r="S24" s="10">
        <v>0.113415479446435</v>
      </c>
      <c r="T24" s="10">
        <v>0.25017650846821732</v>
      </c>
      <c r="U24" s="10">
        <v>0.52717968884554134</v>
      </c>
      <c r="V24" s="19">
        <v>0.93548650937567024</v>
      </c>
      <c r="X24" s="4">
        <v>5.8638196228487323E-2</v>
      </c>
      <c r="Y24" s="10">
        <v>0.88272360754302537</v>
      </c>
      <c r="Z24" s="10">
        <v>5.8638196228487323E-2</v>
      </c>
      <c r="AA24" s="10">
        <v>0</v>
      </c>
      <c r="AB24" s="10">
        <v>0</v>
      </c>
      <c r="AC24" s="10">
        <v>0</v>
      </c>
      <c r="AD24" s="10">
        <v>0</v>
      </c>
      <c r="AE24" s="10">
        <v>0</v>
      </c>
      <c r="AF24" s="10">
        <v>0</v>
      </c>
      <c r="AG24" s="10">
        <v>0</v>
      </c>
      <c r="AH24" s="10">
        <v>0</v>
      </c>
      <c r="AI24" s="10">
        <v>0</v>
      </c>
      <c r="AJ24" s="10">
        <v>0</v>
      </c>
      <c r="AK24" s="10">
        <v>0</v>
      </c>
      <c r="AL24" s="10">
        <v>0</v>
      </c>
      <c r="AM24" s="10">
        <v>0</v>
      </c>
      <c r="AN24" s="10">
        <v>0</v>
      </c>
      <c r="AO24" s="10">
        <v>0</v>
      </c>
      <c r="AP24" s="7">
        <v>0</v>
      </c>
    </row>
    <row r="25" spans="1:42" x14ac:dyDescent="0.35">
      <c r="A25" s="22">
        <v>4.3949771689497726E-5</v>
      </c>
      <c r="B25" s="17">
        <v>0</v>
      </c>
      <c r="C25" s="10">
        <v>7.2877617509015357E-8</v>
      </c>
      <c r="D25" s="10">
        <v>4.7890977500854452E-7</v>
      </c>
      <c r="E25" s="10">
        <v>2.7950681871826081E-6</v>
      </c>
      <c r="F25" s="10">
        <v>1.4526477402621136E-5</v>
      </c>
      <c r="G25" s="10">
        <v>6.6085350430886093E-5</v>
      </c>
      <c r="H25" s="10">
        <v>2.5803165884192355E-4</v>
      </c>
      <c r="I25" s="10">
        <v>8.4669959874011957E-4</v>
      </c>
      <c r="J25" s="10">
        <v>2.2896270419638033E-3</v>
      </c>
      <c r="K25" s="10">
        <v>5.0444727813600803E-3</v>
      </c>
      <c r="L25" s="10">
        <v>9.1325729788351052E-3</v>
      </c>
      <c r="M25" s="10">
        <v>1.4088818892157559E-2</v>
      </c>
      <c r="N25" s="10">
        <v>1.9419484677016818E-2</v>
      </c>
      <c r="O25" s="10">
        <v>2.4897201113519687E-2</v>
      </c>
      <c r="P25" s="10">
        <v>3.0768654914922935E-2</v>
      </c>
      <c r="Q25" s="10">
        <v>3.8737246381000227E-2</v>
      </c>
      <c r="R25" s="10">
        <v>5.5739898883420617E-2</v>
      </c>
      <c r="S25" s="10">
        <v>0.10377749207097585</v>
      </c>
      <c r="T25" s="10">
        <v>0.2332687353799428</v>
      </c>
      <c r="U25" s="10">
        <v>0.51085843423731125</v>
      </c>
      <c r="V25" s="19">
        <v>0.9354827717087274</v>
      </c>
      <c r="X25" s="4">
        <v>0</v>
      </c>
      <c r="Y25" s="10">
        <v>5.8638196228487323E-2</v>
      </c>
      <c r="Z25" s="10">
        <v>0.88272360754302537</v>
      </c>
      <c r="AA25" s="10">
        <v>5.8638196228487323E-2</v>
      </c>
      <c r="AB25" s="10">
        <v>0</v>
      </c>
      <c r="AC25" s="10">
        <v>0</v>
      </c>
      <c r="AD25" s="10">
        <v>0</v>
      </c>
      <c r="AE25" s="10">
        <v>0</v>
      </c>
      <c r="AF25" s="10">
        <v>0</v>
      </c>
      <c r="AG25" s="10">
        <v>0</v>
      </c>
      <c r="AH25" s="10">
        <v>0</v>
      </c>
      <c r="AI25" s="10">
        <v>0</v>
      </c>
      <c r="AJ25" s="10">
        <v>0</v>
      </c>
      <c r="AK25" s="10">
        <v>0</v>
      </c>
      <c r="AL25" s="10">
        <v>0</v>
      </c>
      <c r="AM25" s="10">
        <v>0</v>
      </c>
      <c r="AN25" s="10">
        <v>0</v>
      </c>
      <c r="AO25" s="10">
        <v>0</v>
      </c>
      <c r="AP25" s="7">
        <v>0</v>
      </c>
    </row>
    <row r="26" spans="1:42" x14ac:dyDescent="0.35">
      <c r="A26" s="22">
        <v>3.9954337899543392E-5</v>
      </c>
      <c r="B26" s="17">
        <v>0</v>
      </c>
      <c r="C26" s="10">
        <v>4.1101389360380557E-8</v>
      </c>
      <c r="D26" s="10">
        <v>2.9095147232932952E-7</v>
      </c>
      <c r="E26" s="10">
        <v>1.83606555421927E-6</v>
      </c>
      <c r="F26" s="10">
        <v>1.0320501358004372E-5</v>
      </c>
      <c r="G26" s="10">
        <v>5.0705055627038596E-5</v>
      </c>
      <c r="H26" s="10">
        <v>2.1299357829245545E-4</v>
      </c>
      <c r="I26" s="10">
        <v>7.4662776086512051E-4</v>
      </c>
      <c r="J26" s="10">
        <v>2.132600601574549E-3</v>
      </c>
      <c r="K26" s="10">
        <v>4.8845417539700314E-3</v>
      </c>
      <c r="L26" s="10">
        <v>9.0306491002943318E-3</v>
      </c>
      <c r="M26" s="10">
        <v>1.4046793094765144E-2</v>
      </c>
      <c r="N26" s="10">
        <v>1.940521384371164E-2</v>
      </c>
      <c r="O26" s="10">
        <v>2.485995488730983E-2</v>
      </c>
      <c r="P26" s="10">
        <v>3.0556145672799299E-2</v>
      </c>
      <c r="Q26" s="10">
        <v>3.7779274153906944E-2</v>
      </c>
      <c r="R26" s="10">
        <v>5.2305341859738244E-2</v>
      </c>
      <c r="S26" s="10">
        <v>9.4368479013546891E-2</v>
      </c>
      <c r="T26" s="10">
        <v>0.21543673972251068</v>
      </c>
      <c r="U26" s="10">
        <v>0.4925085944745824</v>
      </c>
      <c r="V26" s="19">
        <v>0.93547903405671817</v>
      </c>
      <c r="X26" s="4">
        <v>0</v>
      </c>
      <c r="Y26" s="10">
        <v>0</v>
      </c>
      <c r="Z26" s="10">
        <v>5.8638196228487323E-2</v>
      </c>
      <c r="AA26" s="10">
        <v>0.88272360754302537</v>
      </c>
      <c r="AB26" s="10">
        <v>5.8638196228487323E-2</v>
      </c>
      <c r="AC26" s="10">
        <v>0</v>
      </c>
      <c r="AD26" s="10">
        <v>0</v>
      </c>
      <c r="AE26" s="10">
        <v>0</v>
      </c>
      <c r="AF26" s="10">
        <v>0</v>
      </c>
      <c r="AG26" s="10">
        <v>0</v>
      </c>
      <c r="AH26" s="10">
        <v>0</v>
      </c>
      <c r="AI26" s="10">
        <v>0</v>
      </c>
      <c r="AJ26" s="10">
        <v>0</v>
      </c>
      <c r="AK26" s="10">
        <v>0</v>
      </c>
      <c r="AL26" s="10">
        <v>0</v>
      </c>
      <c r="AM26" s="10">
        <v>0</v>
      </c>
      <c r="AN26" s="10">
        <v>0</v>
      </c>
      <c r="AO26" s="10">
        <v>0</v>
      </c>
      <c r="AP26" s="7">
        <v>0</v>
      </c>
    </row>
    <row r="27" spans="1:42" x14ac:dyDescent="0.35">
      <c r="A27" s="22">
        <v>3.5958904109589051E-5</v>
      </c>
      <c r="B27" s="17">
        <v>0</v>
      </c>
      <c r="C27" s="10">
        <v>2.165331075800572E-8</v>
      </c>
      <c r="D27" s="10">
        <v>1.6622022063203864E-7</v>
      </c>
      <c r="E27" s="10">
        <v>1.1426562925586533E-6</v>
      </c>
      <c r="F27" s="10">
        <v>7.00498537052452E-6</v>
      </c>
      <c r="G27" s="10">
        <v>3.7509112357352476E-5</v>
      </c>
      <c r="H27" s="10">
        <v>1.7114933217797816E-4</v>
      </c>
      <c r="I27" s="10">
        <v>6.4704439152398982E-4</v>
      </c>
      <c r="J27" s="10">
        <v>1.9688687434235705E-3</v>
      </c>
      <c r="K27" s="10">
        <v>4.7169637794102102E-3</v>
      </c>
      <c r="L27" s="10">
        <v>8.9287222502452222E-3</v>
      </c>
      <c r="M27" s="10">
        <v>1.4008677112230215E-2</v>
      </c>
      <c r="N27" s="10">
        <v>1.9396374916566619E-2</v>
      </c>
      <c r="O27" s="10">
        <v>2.4838489108371879E-2</v>
      </c>
      <c r="P27" s="10">
        <v>3.0405225168918439E-2</v>
      </c>
      <c r="Q27" s="10">
        <v>3.7018781145571361E-2</v>
      </c>
      <c r="R27" s="10">
        <v>4.9298640767323716E-2</v>
      </c>
      <c r="S27" s="10">
        <v>8.5316901296611319E-2</v>
      </c>
      <c r="T27" s="10">
        <v>0.19669320595185019</v>
      </c>
      <c r="U27" s="10">
        <v>0.4717130915491245</v>
      </c>
      <c r="V27" s="19">
        <v>0.93547529641964244</v>
      </c>
      <c r="X27" s="4">
        <v>0</v>
      </c>
      <c r="Y27" s="10">
        <v>0</v>
      </c>
      <c r="Z27" s="10">
        <v>0</v>
      </c>
      <c r="AA27" s="10">
        <v>5.8638196228487323E-2</v>
      </c>
      <c r="AB27" s="10">
        <v>0.88272360754302537</v>
      </c>
      <c r="AC27" s="10">
        <v>5.8638196228487323E-2</v>
      </c>
      <c r="AD27" s="10">
        <v>0</v>
      </c>
      <c r="AE27" s="10">
        <v>0</v>
      </c>
      <c r="AF27" s="10">
        <v>0</v>
      </c>
      <c r="AG27" s="10">
        <v>0</v>
      </c>
      <c r="AH27" s="10">
        <v>0</v>
      </c>
      <c r="AI27" s="10">
        <v>0</v>
      </c>
      <c r="AJ27" s="10">
        <v>0</v>
      </c>
      <c r="AK27" s="10">
        <v>0</v>
      </c>
      <c r="AL27" s="10">
        <v>0</v>
      </c>
      <c r="AM27" s="10">
        <v>0</v>
      </c>
      <c r="AN27" s="10">
        <v>0</v>
      </c>
      <c r="AO27" s="10">
        <v>0</v>
      </c>
      <c r="AP27" s="7">
        <v>0</v>
      </c>
    </row>
    <row r="28" spans="1:42" x14ac:dyDescent="0.35">
      <c r="A28" s="22">
        <v>3.1963470319634711E-5</v>
      </c>
      <c r="B28" s="17">
        <v>0</v>
      </c>
      <c r="C28" s="10">
        <v>1.0510522641316122E-8</v>
      </c>
      <c r="D28" s="10">
        <v>8.8133552584869318E-8</v>
      </c>
      <c r="E28" s="10">
        <v>6.6555641900539837E-7</v>
      </c>
      <c r="F28" s="10">
        <v>4.4934189812693465E-6</v>
      </c>
      <c r="G28" s="10">
        <v>2.6511060163197108E-5</v>
      </c>
      <c r="H28" s="10">
        <v>1.3295042750188386E-4</v>
      </c>
      <c r="I28" s="10">
        <v>5.4856878399657809E-4</v>
      </c>
      <c r="J28" s="10">
        <v>1.7976343271134195E-3</v>
      </c>
      <c r="K28" s="10">
        <v>4.5406147874008738E-3</v>
      </c>
      <c r="L28" s="10">
        <v>8.8273400100870626E-3</v>
      </c>
      <c r="M28" s="10">
        <v>1.3974814250569942E-2</v>
      </c>
      <c r="N28" s="10">
        <v>1.9392033668020892E-2</v>
      </c>
      <c r="O28" s="10">
        <v>2.4828871181069353E-2</v>
      </c>
      <c r="P28" s="10">
        <v>3.0305108366302635E-2</v>
      </c>
      <c r="Q28" s="10">
        <v>3.6441890613467018E-2</v>
      </c>
      <c r="R28" s="10">
        <v>4.6750504922442995E-2</v>
      </c>
      <c r="S28" s="10">
        <v>7.6775940495994136E-2</v>
      </c>
      <c r="T28" s="10">
        <v>0.17709857630576401</v>
      </c>
      <c r="U28" s="10">
        <v>0.44793916591332089</v>
      </c>
      <c r="V28" s="19">
        <v>0.93547155879750021</v>
      </c>
      <c r="X28" s="4">
        <v>0</v>
      </c>
      <c r="Y28" s="10">
        <v>0</v>
      </c>
      <c r="Z28" s="10">
        <v>0</v>
      </c>
      <c r="AA28" s="10">
        <v>0</v>
      </c>
      <c r="AB28" s="10">
        <v>5.8638196228487323E-2</v>
      </c>
      <c r="AC28" s="10">
        <v>0.88272360754302537</v>
      </c>
      <c r="AD28" s="10">
        <v>5.8638196228487323E-2</v>
      </c>
      <c r="AE28" s="10">
        <v>0</v>
      </c>
      <c r="AF28" s="10">
        <v>0</v>
      </c>
      <c r="AG28" s="10">
        <v>0</v>
      </c>
      <c r="AH28" s="10">
        <v>0</v>
      </c>
      <c r="AI28" s="10">
        <v>0</v>
      </c>
      <c r="AJ28" s="10">
        <v>0</v>
      </c>
      <c r="AK28" s="10">
        <v>0</v>
      </c>
      <c r="AL28" s="10">
        <v>0</v>
      </c>
      <c r="AM28" s="10">
        <v>0</v>
      </c>
      <c r="AN28" s="10">
        <v>0</v>
      </c>
      <c r="AO28" s="10">
        <v>0</v>
      </c>
      <c r="AP28" s="7">
        <v>0</v>
      </c>
    </row>
    <row r="29" spans="1:42" x14ac:dyDescent="0.35">
      <c r="A29" s="22">
        <v>2.796803652968037E-5</v>
      </c>
      <c r="B29" s="17">
        <v>0</v>
      </c>
      <c r="C29" s="10">
        <v>4.617244668342565E-9</v>
      </c>
      <c r="D29" s="10">
        <v>4.2624356800718793E-8</v>
      </c>
      <c r="E29" s="10">
        <v>3.5693319613350786E-7</v>
      </c>
      <c r="F29" s="10">
        <v>2.6839796322756257E-6</v>
      </c>
      <c r="G29" s="10">
        <v>1.7678938601857114E-5</v>
      </c>
      <c r="H29" s="10">
        <v>9.8872792944801289E-5</v>
      </c>
      <c r="I29" s="10">
        <v>4.5203845656859563E-4</v>
      </c>
      <c r="J29" s="10">
        <v>1.6179591300335577E-3</v>
      </c>
      <c r="K29" s="10">
        <v>4.3540972886914808E-3</v>
      </c>
      <c r="L29" s="10">
        <v>8.7273098558306433E-3</v>
      </c>
      <c r="M29" s="10">
        <v>1.3945660705434624E-2</v>
      </c>
      <c r="N29" s="10">
        <v>1.9391443082171732E-2</v>
      </c>
      <c r="O29" s="10">
        <v>2.4827679055265544E-2</v>
      </c>
      <c r="P29" s="10">
        <v>3.0244845548446451E-2</v>
      </c>
      <c r="Q29" s="10">
        <v>3.6029172839224577E-2</v>
      </c>
      <c r="R29" s="10">
        <v>4.4680045794447579E-2</v>
      </c>
      <c r="S29" s="10">
        <v>6.8923149624553356E-2</v>
      </c>
      <c r="T29" s="10">
        <v>0.15678843301726475</v>
      </c>
      <c r="U29" s="10">
        <v>0.42049947423386902</v>
      </c>
      <c r="V29" s="19">
        <v>0.93546782119029137</v>
      </c>
      <c r="X29" s="4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5.8638196228487323E-2</v>
      </c>
      <c r="AD29" s="10">
        <v>0.88272360754302537</v>
      </c>
      <c r="AE29" s="10">
        <v>5.8638196228487323E-2</v>
      </c>
      <c r="AF29" s="10">
        <v>0</v>
      </c>
      <c r="AG29" s="10">
        <v>0</v>
      </c>
      <c r="AH29" s="10">
        <v>0</v>
      </c>
      <c r="AI29" s="10">
        <v>0</v>
      </c>
      <c r="AJ29" s="10">
        <v>0</v>
      </c>
      <c r="AK29" s="10">
        <v>0</v>
      </c>
      <c r="AL29" s="10">
        <v>0</v>
      </c>
      <c r="AM29" s="10">
        <v>0</v>
      </c>
      <c r="AN29" s="10">
        <v>0</v>
      </c>
      <c r="AO29" s="10">
        <v>0</v>
      </c>
      <c r="AP29" s="7">
        <v>0</v>
      </c>
    </row>
    <row r="30" spans="1:42" x14ac:dyDescent="0.35">
      <c r="A30" s="22">
        <v>2.3972602739726033E-5</v>
      </c>
      <c r="B30" s="17">
        <v>0</v>
      </c>
      <c r="C30" s="10">
        <v>1.7925123762661126E-9</v>
      </c>
      <c r="D30" s="10">
        <v>1.8367380749631478E-8</v>
      </c>
      <c r="E30" s="10">
        <v>1.7231245610979064E-7</v>
      </c>
      <c r="F30" s="10">
        <v>1.4619922939455338E-6</v>
      </c>
      <c r="G30" s="10">
        <v>1.0923202434689454E-5</v>
      </c>
      <c r="H30" s="10">
        <v>6.9396021646026061E-5</v>
      </c>
      <c r="I30" s="10">
        <v>3.5858594758472664E-4</v>
      </c>
      <c r="J30" s="10">
        <v>1.4287347736348368E-3</v>
      </c>
      <c r="K30" s="10">
        <v>4.1556473071159266E-3</v>
      </c>
      <c r="L30" s="10">
        <v>8.6297979509095367E-3</v>
      </c>
      <c r="M30" s="10">
        <v>1.3921752066809861E-2</v>
      </c>
      <c r="N30" s="10">
        <v>1.9394006137145862E-2</v>
      </c>
      <c r="O30" s="10">
        <v>2.483209696214235E-2</v>
      </c>
      <c r="P30" s="10">
        <v>3.0213915473460619E-2</v>
      </c>
      <c r="Q30" s="10">
        <v>3.5756046352715301E-2</v>
      </c>
      <c r="R30" s="10">
        <v>4.3089457081888369E-2</v>
      </c>
      <c r="S30" s="10">
        <v>6.1956108298929814E-2</v>
      </c>
      <c r="T30" s="10">
        <v>0.13601462563915109</v>
      </c>
      <c r="U30" s="10">
        <v>0.38849829923965862</v>
      </c>
      <c r="V30" s="19">
        <v>0.93546408359801581</v>
      </c>
      <c r="X30" s="4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>
        <v>5.8638196228487323E-2</v>
      </c>
      <c r="AE30" s="10">
        <v>0.88272360754302537</v>
      </c>
      <c r="AF30" s="10">
        <v>5.8638196228487323E-2</v>
      </c>
      <c r="AG30" s="10">
        <v>0</v>
      </c>
      <c r="AH30" s="10">
        <v>0</v>
      </c>
      <c r="AI30" s="10">
        <v>0</v>
      </c>
      <c r="AJ30" s="10">
        <v>0</v>
      </c>
      <c r="AK30" s="10">
        <v>0</v>
      </c>
      <c r="AL30" s="10">
        <v>0</v>
      </c>
      <c r="AM30" s="10">
        <v>0</v>
      </c>
      <c r="AN30" s="10">
        <v>0</v>
      </c>
      <c r="AO30" s="10">
        <v>0</v>
      </c>
      <c r="AP30" s="7">
        <v>0</v>
      </c>
    </row>
    <row r="31" spans="1:42" x14ac:dyDescent="0.35">
      <c r="A31" s="22">
        <v>1.9977168949771696E-5</v>
      </c>
      <c r="B31" s="17">
        <v>0</v>
      </c>
      <c r="C31" s="10">
        <v>5.9526881063406075E-10</v>
      </c>
      <c r="D31" s="10">
        <v>6.825650827466307E-9</v>
      </c>
      <c r="E31" s="10">
        <v>7.2515378342238573E-8</v>
      </c>
      <c r="F31" s="10">
        <v>7.0438281999797646E-7</v>
      </c>
      <c r="G31" s="10">
        <v>6.0847878100055838E-6</v>
      </c>
      <c r="H31" s="10">
        <v>4.4966603158440622E-5</v>
      </c>
      <c r="I31" s="10">
        <v>2.6974403281879313E-4</v>
      </c>
      <c r="J31" s="10">
        <v>1.2286486407279171E-3</v>
      </c>
      <c r="K31" s="10">
        <v>3.9430045439880629E-3</v>
      </c>
      <c r="L31" s="10">
        <v>8.536474728460303E-3</v>
      </c>
      <c r="M31" s="10">
        <v>1.3903650533049549E-2</v>
      </c>
      <c r="N31" s="10">
        <v>1.9399225062981345E-2</v>
      </c>
      <c r="O31" s="10">
        <v>2.4839960683153108E-2</v>
      </c>
      <c r="P31" s="10">
        <v>3.0202862837553246E-2</v>
      </c>
      <c r="Q31" s="10">
        <v>3.5593941298946594E-2</v>
      </c>
      <c r="R31" s="10">
        <v>4.1958235822558178E-2</v>
      </c>
      <c r="S31" s="10">
        <v>5.6080832437857109E-2</v>
      </c>
      <c r="T31" s="10">
        <v>0.11520693453007354</v>
      </c>
      <c r="U31" s="10">
        <v>0.35075663846498345</v>
      </c>
      <c r="V31" s="19">
        <v>0.93546034602067352</v>
      </c>
      <c r="X31" s="4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>
        <v>0</v>
      </c>
      <c r="AE31" s="10">
        <v>5.8638196228487323E-2</v>
      </c>
      <c r="AF31" s="10">
        <v>0.88272360754302537</v>
      </c>
      <c r="AG31" s="10">
        <v>5.8638196228487323E-2</v>
      </c>
      <c r="AH31" s="10">
        <v>0</v>
      </c>
      <c r="AI31" s="10">
        <v>0</v>
      </c>
      <c r="AJ31" s="10">
        <v>0</v>
      </c>
      <c r="AK31" s="10">
        <v>0</v>
      </c>
      <c r="AL31" s="10">
        <v>0</v>
      </c>
      <c r="AM31" s="10">
        <v>0</v>
      </c>
      <c r="AN31" s="10">
        <v>0</v>
      </c>
      <c r="AO31" s="10">
        <v>0</v>
      </c>
      <c r="AP31" s="7">
        <v>0</v>
      </c>
    </row>
    <row r="32" spans="1:42" x14ac:dyDescent="0.35">
      <c r="A32" s="22">
        <v>1.5981735159817355E-5</v>
      </c>
      <c r="B32" s="17">
        <v>0</v>
      </c>
      <c r="C32" s="10">
        <v>1.6140605854269296E-10</v>
      </c>
      <c r="D32" s="10">
        <v>2.0866773924352175E-9</v>
      </c>
      <c r="E32" s="10">
        <v>2.5369779400816223E-8</v>
      </c>
      <c r="F32" s="10">
        <v>2.8648350950503215E-7</v>
      </c>
      <c r="G32" s="10">
        <v>2.9258019407047198E-6</v>
      </c>
      <c r="H32" s="10">
        <v>2.5936203924982786E-5</v>
      </c>
      <c r="I32" s="10">
        <v>1.8759029289687048E-4</v>
      </c>
      <c r="J32" s="10">
        <v>1.0161449501387512E-3</v>
      </c>
      <c r="K32" s="10">
        <v>3.713228997948606E-3</v>
      </c>
      <c r="L32" s="10">
        <v>8.4497290198789592E-3</v>
      </c>
      <c r="M32" s="10">
        <v>1.3891861364546678E-2</v>
      </c>
      <c r="N32" s="10">
        <v>1.9406644287246352E-2</v>
      </c>
      <c r="O32" s="10">
        <v>2.4849740668000494E-2</v>
      </c>
      <c r="P32" s="10">
        <v>3.0203885287892137E-2</v>
      </c>
      <c r="Q32" s="10">
        <v>3.5512417008182855E-2</v>
      </c>
      <c r="R32" s="10">
        <v>4.1238025956418574E-2</v>
      </c>
      <c r="S32" s="10">
        <v>5.1487597828986112E-2</v>
      </c>
      <c r="T32" s="10">
        <v>9.5065449721126849E-2</v>
      </c>
      <c r="U32" s="10">
        <v>0.30570715512244334</v>
      </c>
      <c r="V32" s="19">
        <v>0.9354566084582645</v>
      </c>
      <c r="X32" s="4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>
        <v>0</v>
      </c>
      <c r="AE32" s="10">
        <v>0</v>
      </c>
      <c r="AF32" s="10">
        <v>5.8638196228487323E-2</v>
      </c>
      <c r="AG32" s="10">
        <v>0.88272360754302537</v>
      </c>
      <c r="AH32" s="10">
        <v>5.8638196228487323E-2</v>
      </c>
      <c r="AI32" s="10">
        <v>0</v>
      </c>
      <c r="AJ32" s="10">
        <v>0</v>
      </c>
      <c r="AK32" s="10">
        <v>0</v>
      </c>
      <c r="AL32" s="10">
        <v>0</v>
      </c>
      <c r="AM32" s="10">
        <v>0</v>
      </c>
      <c r="AN32" s="10">
        <v>0</v>
      </c>
      <c r="AO32" s="10">
        <v>0</v>
      </c>
      <c r="AP32" s="7">
        <v>0</v>
      </c>
    </row>
    <row r="33" spans="1:42" x14ac:dyDescent="0.35">
      <c r="A33" s="22">
        <v>1.1986301369863017E-5</v>
      </c>
      <c r="B33" s="17">
        <v>0</v>
      </c>
      <c r="C33" s="10">
        <v>3.3268338795360889E-11</v>
      </c>
      <c r="D33" s="10">
        <v>4.8789755155891387E-10</v>
      </c>
      <c r="E33" s="10">
        <v>6.8498567480261353E-9</v>
      </c>
      <c r="F33" s="10">
        <v>9.1214959075625811E-8</v>
      </c>
      <c r="G33" s="10">
        <v>1.1274326094859269E-6</v>
      </c>
      <c r="H33" s="10">
        <v>1.2461472759305144E-5</v>
      </c>
      <c r="I33" s="10">
        <v>1.1494626081805425E-4</v>
      </c>
      <c r="J33" s="10">
        <v>7.8938223170355905E-4</v>
      </c>
      <c r="K33" s="10">
        <v>3.4624391171156985E-3</v>
      </c>
      <c r="L33" s="10">
        <v>8.3729830875616355E-3</v>
      </c>
      <c r="M33" s="10">
        <v>1.3886699187888074E-2</v>
      </c>
      <c r="N33" s="10">
        <v>1.9415799080109052E-2</v>
      </c>
      <c r="O33" s="10">
        <v>2.4860462143307078E-2</v>
      </c>
      <c r="P33" s="10">
        <v>3.0211235816101502E-2</v>
      </c>
      <c r="Q33" s="10">
        <v>3.5482268460815924E-2</v>
      </c>
      <c r="R33" s="10">
        <v>4.0850369081667996E-2</v>
      </c>
      <c r="S33" s="10">
        <v>4.8305502676494146E-2</v>
      </c>
      <c r="T33" s="10">
        <v>7.6698949652620932E-2</v>
      </c>
      <c r="U33" s="10">
        <v>0.25124588692973482</v>
      </c>
      <c r="V33" s="19">
        <v>0.93545287091078855</v>
      </c>
      <c r="X33" s="4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>
        <v>0</v>
      </c>
      <c r="AE33" s="10">
        <v>0</v>
      </c>
      <c r="AF33" s="10">
        <v>0</v>
      </c>
      <c r="AG33" s="10">
        <v>5.8638196228487323E-2</v>
      </c>
      <c r="AH33" s="10">
        <v>0.88272360754302537</v>
      </c>
      <c r="AI33" s="10">
        <v>5.8638196228487323E-2</v>
      </c>
      <c r="AJ33" s="10">
        <v>0</v>
      </c>
      <c r="AK33" s="10">
        <v>0</v>
      </c>
      <c r="AL33" s="10">
        <v>0</v>
      </c>
      <c r="AM33" s="10">
        <v>0</v>
      </c>
      <c r="AN33" s="10">
        <v>0</v>
      </c>
      <c r="AO33" s="10">
        <v>0</v>
      </c>
      <c r="AP33" s="7">
        <v>0</v>
      </c>
    </row>
    <row r="34" spans="1:42" x14ac:dyDescent="0.35">
      <c r="A34" s="22">
        <v>7.9908675799086777E-6</v>
      </c>
      <c r="B34" s="17">
        <v>0</v>
      </c>
      <c r="C34" s="10">
        <v>4.5969979110934665E-12</v>
      </c>
      <c r="D34" s="10">
        <v>7.6786444574696774E-11</v>
      </c>
      <c r="E34" s="10">
        <v>1.2526239632425106E-9</v>
      </c>
      <c r="F34" s="10">
        <v>1.9879018239049749E-8</v>
      </c>
      <c r="G34" s="10">
        <v>3.0319677991364762E-7</v>
      </c>
      <c r="H34" s="10">
        <v>4.3449878115886386E-6</v>
      </c>
      <c r="I34" s="10">
        <v>5.5652378464706726E-5</v>
      </c>
      <c r="J34" s="10">
        <v>5.4619048080749191E-4</v>
      </c>
      <c r="K34" s="10">
        <v>3.1854342669462702E-3</v>
      </c>
      <c r="L34" s="10">
        <v>8.3111570513540629E-3</v>
      </c>
      <c r="M34" s="10">
        <v>1.3888072270007117E-2</v>
      </c>
      <c r="N34" s="10">
        <v>1.9426187524247449E-2</v>
      </c>
      <c r="O34" s="10">
        <v>2.4871577880060561E-2</v>
      </c>
      <c r="P34" s="10">
        <v>3.0221292846518876E-2</v>
      </c>
      <c r="Q34" s="10">
        <v>3.5479238953915034E-2</v>
      </c>
      <c r="R34" s="10">
        <v>4.0691781479642371E-2</v>
      </c>
      <c r="S34" s="10">
        <v>4.6521801269188319E-2</v>
      </c>
      <c r="T34" s="10">
        <v>6.1832270907385752E-2</v>
      </c>
      <c r="U34" s="10">
        <v>0.1845215841401725</v>
      </c>
      <c r="V34" s="19">
        <v>0.93544913337824576</v>
      </c>
      <c r="X34" s="4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>
        <v>0</v>
      </c>
      <c r="AE34" s="10">
        <v>0</v>
      </c>
      <c r="AF34" s="10">
        <v>0</v>
      </c>
      <c r="AG34" s="10">
        <v>0</v>
      </c>
      <c r="AH34" s="10">
        <v>5.8638196228487323E-2</v>
      </c>
      <c r="AI34" s="10">
        <v>0.88272360754302537</v>
      </c>
      <c r="AJ34" s="10">
        <v>5.8638196228487323E-2</v>
      </c>
      <c r="AK34" s="10">
        <v>0</v>
      </c>
      <c r="AL34" s="10">
        <v>0</v>
      </c>
      <c r="AM34" s="10">
        <v>0</v>
      </c>
      <c r="AN34" s="10">
        <v>0</v>
      </c>
      <c r="AO34" s="10">
        <v>0</v>
      </c>
      <c r="AP34" s="7">
        <v>0</v>
      </c>
    </row>
    <row r="35" spans="1:42" x14ac:dyDescent="0.35">
      <c r="A35" s="22">
        <v>3.9954337899543389E-6</v>
      </c>
      <c r="B35" s="17">
        <v>0</v>
      </c>
      <c r="C35" s="10">
        <v>3.167493187899104E-13</v>
      </c>
      <c r="D35" s="10">
        <v>6.035256180661078E-12</v>
      </c>
      <c r="E35" s="10">
        <v>1.1467739591050679E-10</v>
      </c>
      <c r="F35" s="10">
        <v>2.1789969487664192E-9</v>
      </c>
      <c r="G35" s="10">
        <v>4.1403343393920048E-8</v>
      </c>
      <c r="H35" s="10">
        <v>7.8670915306467116E-7</v>
      </c>
      <c r="I35" s="10">
        <v>1.4948340901534947E-5</v>
      </c>
      <c r="J35" s="10">
        <v>2.8403495095745228E-4</v>
      </c>
      <c r="K35" s="10">
        <v>2.8751456525422277E-3</v>
      </c>
      <c r="L35" s="10">
        <v>8.2713557870052277E-3</v>
      </c>
      <c r="M35" s="10">
        <v>1.3895133526050688E-2</v>
      </c>
      <c r="N35" s="10">
        <v>1.9437290471406878E-2</v>
      </c>
      <c r="O35" s="10">
        <v>2.4882825645723104E-2</v>
      </c>
      <c r="P35" s="10">
        <v>3.0232219844192245E-2</v>
      </c>
      <c r="Q35" s="10">
        <v>3.5487036827386818E-2</v>
      </c>
      <c r="R35" s="10">
        <v>4.0654274558989442E-2</v>
      </c>
      <c r="S35" s="10">
        <v>4.5843667946360377E-2</v>
      </c>
      <c r="T35" s="10">
        <v>5.3117314467851506E-2</v>
      </c>
      <c r="U35" s="10">
        <v>0.10163463650458199</v>
      </c>
      <c r="V35" s="19">
        <v>0.93544539586063602</v>
      </c>
      <c r="X35" s="4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>
        <v>0</v>
      </c>
      <c r="AE35" s="10">
        <v>0</v>
      </c>
      <c r="AF35" s="10">
        <v>0</v>
      </c>
      <c r="AG35" s="10">
        <v>0</v>
      </c>
      <c r="AH35" s="10">
        <v>0</v>
      </c>
      <c r="AI35" s="10">
        <v>5.8638196228487323E-2</v>
      </c>
      <c r="AJ35" s="10">
        <v>0.88272360754302537</v>
      </c>
      <c r="AK35" s="10">
        <v>5.8638196228487323E-2</v>
      </c>
      <c r="AL35" s="10">
        <v>0</v>
      </c>
      <c r="AM35" s="10">
        <v>0</v>
      </c>
      <c r="AN35" s="10">
        <v>0</v>
      </c>
      <c r="AO35" s="10">
        <v>0</v>
      </c>
      <c r="AP35" s="7">
        <v>0</v>
      </c>
    </row>
    <row r="36" spans="1:42" ht="15" thickBot="1" x14ac:dyDescent="0.4">
      <c r="A36" s="23">
        <v>0</v>
      </c>
      <c r="B36" s="17">
        <v>0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2.5218314365418326E-3</v>
      </c>
      <c r="L36" s="33">
        <v>8.2638888888888484E-3</v>
      </c>
      <c r="M36" s="33">
        <v>1.3905717205375812E-2</v>
      </c>
      <c r="N36" s="33">
        <v>1.9448675099828394E-2</v>
      </c>
      <c r="O36" s="33">
        <v>2.4894104379501569E-2</v>
      </c>
      <c r="P36" s="33">
        <v>3.0243330147914582E-2</v>
      </c>
      <c r="Q36" s="33">
        <v>3.5497661005293168E-2</v>
      </c>
      <c r="R36" s="33">
        <v>4.0658389246647109E-2</v>
      </c>
      <c r="S36" s="33">
        <v>4.5726791057510541E-2</v>
      </c>
      <c r="T36" s="33">
        <v>5.0704126707373232E-2</v>
      </c>
      <c r="U36" s="33">
        <v>5.5591640740829673E-2</v>
      </c>
      <c r="V36" s="19">
        <v>6.039056216647043E-2</v>
      </c>
      <c r="X36" s="4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>
        <v>0</v>
      </c>
      <c r="AE36" s="10">
        <v>0</v>
      </c>
      <c r="AF36" s="10">
        <v>0</v>
      </c>
      <c r="AG36" s="10">
        <v>0</v>
      </c>
      <c r="AH36" s="10">
        <v>0</v>
      </c>
      <c r="AI36" s="10">
        <v>0</v>
      </c>
      <c r="AJ36" s="10">
        <v>5.8638196228487323E-2</v>
      </c>
      <c r="AK36" s="10">
        <v>0.88272360754302537</v>
      </c>
      <c r="AL36" s="10">
        <v>5.8638196228487323E-2</v>
      </c>
      <c r="AM36" s="10">
        <v>0</v>
      </c>
      <c r="AN36" s="10">
        <v>0</v>
      </c>
      <c r="AO36" s="10">
        <v>0</v>
      </c>
      <c r="AP36" s="7">
        <v>0</v>
      </c>
    </row>
    <row r="37" spans="1:42" ht="15" thickBot="1" x14ac:dyDescent="0.4">
      <c r="A37" s="43" t="s">
        <v>20</v>
      </c>
      <c r="B37" s="34">
        <v>-0.05</v>
      </c>
      <c r="C37" s="35">
        <v>-4.4163175032948344E-2</v>
      </c>
      <c r="D37" s="35">
        <v>-3.8326350065896686E-2</v>
      </c>
      <c r="E37" s="35">
        <v>-3.2489525098845028E-2</v>
      </c>
      <c r="F37" s="35">
        <v>-2.6652700131793369E-2</v>
      </c>
      <c r="G37" s="35">
        <v>-2.0815875164741711E-2</v>
      </c>
      <c r="H37" s="35">
        <v>-1.4979050197690053E-2</v>
      </c>
      <c r="I37" s="35">
        <v>-9.1422252306383942E-3</v>
      </c>
      <c r="J37" s="35">
        <v>-3.3054002635867358E-3</v>
      </c>
      <c r="K37" s="35">
        <v>2.5314247034649226E-3</v>
      </c>
      <c r="L37" s="35">
        <v>8.368249670516581E-3</v>
      </c>
      <c r="M37" s="35">
        <v>1.4205074637568246E-2</v>
      </c>
      <c r="N37" s="35">
        <v>2.0041899604619898E-2</v>
      </c>
      <c r="O37" s="35">
        <v>2.5878724571671549E-2</v>
      </c>
      <c r="P37" s="35">
        <v>3.1715549538723214E-2</v>
      </c>
      <c r="Q37" s="35">
        <v>3.755237450577488E-2</v>
      </c>
      <c r="R37" s="35">
        <v>4.3389199472826531E-2</v>
      </c>
      <c r="S37" s="35">
        <v>4.9226024439878183E-2</v>
      </c>
      <c r="T37" s="35">
        <v>5.5062849406929848E-2</v>
      </c>
      <c r="U37" s="35">
        <v>6.0899674373981513E-2</v>
      </c>
      <c r="V37" s="36">
        <v>6.6736499341033165E-2</v>
      </c>
      <c r="X37" s="4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>
        <v>0</v>
      </c>
      <c r="AE37" s="10">
        <v>0</v>
      </c>
      <c r="AF37" s="10">
        <v>0</v>
      </c>
      <c r="AG37" s="10">
        <v>0</v>
      </c>
      <c r="AH37" s="10">
        <v>0</v>
      </c>
      <c r="AI37" s="10">
        <v>0</v>
      </c>
      <c r="AJ37" s="10">
        <v>0</v>
      </c>
      <c r="AK37" s="10">
        <v>5.8638196228487323E-2</v>
      </c>
      <c r="AL37" s="10">
        <v>0.88272360754302537</v>
      </c>
      <c r="AM37" s="10">
        <v>5.8638196228487323E-2</v>
      </c>
      <c r="AN37" s="10">
        <v>0</v>
      </c>
      <c r="AO37" s="10">
        <v>0</v>
      </c>
      <c r="AP37" s="7">
        <v>0</v>
      </c>
    </row>
    <row r="38" spans="1:42" ht="15" thickBot="1" x14ac:dyDescent="0.4">
      <c r="A38" s="10"/>
      <c r="B38" s="10">
        <v>0</v>
      </c>
      <c r="C38" s="10">
        <v>0</v>
      </c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W38" s="45">
        <v>1</v>
      </c>
      <c r="X38" s="4">
        <v>0</v>
      </c>
      <c r="Y38" s="10">
        <v>0</v>
      </c>
      <c r="Z38" s="10">
        <v>0</v>
      </c>
      <c r="AA38" s="10">
        <v>0</v>
      </c>
      <c r="AB38" s="10">
        <v>0</v>
      </c>
      <c r="AC38" s="10">
        <v>0</v>
      </c>
      <c r="AD38" s="10">
        <v>0</v>
      </c>
      <c r="AE38" s="10">
        <v>0</v>
      </c>
      <c r="AF38" s="10">
        <v>0</v>
      </c>
      <c r="AG38" s="10">
        <v>0</v>
      </c>
      <c r="AH38" s="10">
        <v>0</v>
      </c>
      <c r="AI38" s="10">
        <v>0</v>
      </c>
      <c r="AJ38" s="10">
        <v>0</v>
      </c>
      <c r="AK38" s="10">
        <v>0</v>
      </c>
      <c r="AL38" s="10">
        <v>5.8638196228487323E-2</v>
      </c>
      <c r="AM38" s="10">
        <v>0.88272360754302537</v>
      </c>
      <c r="AN38" s="10">
        <v>5.8638196228487323E-2</v>
      </c>
      <c r="AO38" s="10">
        <v>0</v>
      </c>
      <c r="AP38" s="7">
        <v>0</v>
      </c>
    </row>
    <row r="39" spans="1:42" x14ac:dyDescent="0.35">
      <c r="A39" s="29" t="s">
        <v>23</v>
      </c>
      <c r="B39" s="27"/>
      <c r="C39" s="29" t="s">
        <v>22</v>
      </c>
      <c r="D39" s="27"/>
      <c r="E39" s="29" t="s">
        <v>24</v>
      </c>
      <c r="F39" s="27"/>
      <c r="G39" s="29" t="s">
        <v>25</v>
      </c>
      <c r="H39" s="27"/>
      <c r="I39" s="29" t="s">
        <v>26</v>
      </c>
      <c r="J39" s="10"/>
      <c r="K39" s="46" t="s">
        <v>32</v>
      </c>
      <c r="L39" s="10"/>
      <c r="M39" s="10"/>
      <c r="N39" s="10"/>
      <c r="O39" s="10"/>
      <c r="P39" s="10"/>
      <c r="Q39" s="10"/>
      <c r="R39" s="10"/>
      <c r="S39" s="10"/>
      <c r="X39" s="4">
        <v>0</v>
      </c>
      <c r="Y39" s="10">
        <v>0</v>
      </c>
      <c r="Z39" s="10">
        <v>0</v>
      </c>
      <c r="AA39" s="10">
        <v>0</v>
      </c>
      <c r="AB39" s="10">
        <v>0</v>
      </c>
      <c r="AC39" s="10">
        <v>0</v>
      </c>
      <c r="AD39" s="10">
        <v>0</v>
      </c>
      <c r="AE39" s="10">
        <v>0</v>
      </c>
      <c r="AF39" s="10">
        <v>0</v>
      </c>
      <c r="AG39" s="10">
        <v>0</v>
      </c>
      <c r="AH39" s="10">
        <v>0</v>
      </c>
      <c r="AI39" s="10">
        <v>0</v>
      </c>
      <c r="AJ39" s="10">
        <v>0</v>
      </c>
      <c r="AK39" s="10">
        <v>0</v>
      </c>
      <c r="AL39" s="10">
        <v>0</v>
      </c>
      <c r="AM39" s="10">
        <v>5.8638196228487323E-2</v>
      </c>
      <c r="AN39" s="10">
        <v>0.88272360754302537</v>
      </c>
      <c r="AO39" s="10">
        <v>5.8638196228487323E-2</v>
      </c>
      <c r="AP39" s="7">
        <v>0</v>
      </c>
    </row>
    <row r="40" spans="1:42" x14ac:dyDescent="0.35">
      <c r="A40" s="30">
        <v>0</v>
      </c>
      <c r="B40" s="27"/>
      <c r="C40" s="30">
        <v>4.0450682000856006E-6</v>
      </c>
      <c r="D40" s="27"/>
      <c r="E40" s="30">
        <v>9.4207591194884933E-25</v>
      </c>
      <c r="F40" s="27"/>
      <c r="G40" s="30">
        <v>4.948751079976607E-6</v>
      </c>
      <c r="H40" s="27"/>
      <c r="I40" s="30">
        <v>4.948751079976607E-6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X40" s="4">
        <v>0</v>
      </c>
      <c r="Y40" s="10">
        <v>0</v>
      </c>
      <c r="Z40" s="10">
        <v>0</v>
      </c>
      <c r="AA40" s="10">
        <v>0</v>
      </c>
      <c r="AB40" s="10">
        <v>0</v>
      </c>
      <c r="AC40" s="10">
        <v>0</v>
      </c>
      <c r="AD40" s="10">
        <v>0</v>
      </c>
      <c r="AE40" s="10">
        <v>0</v>
      </c>
      <c r="AF40" s="10">
        <v>0</v>
      </c>
      <c r="AG40" s="10">
        <v>0</v>
      </c>
      <c r="AH40" s="10">
        <v>0</v>
      </c>
      <c r="AI40" s="10">
        <v>0</v>
      </c>
      <c r="AJ40" s="10">
        <v>0</v>
      </c>
      <c r="AK40" s="10">
        <v>0</v>
      </c>
      <c r="AL40" s="10">
        <v>0</v>
      </c>
      <c r="AM40" s="10">
        <v>0</v>
      </c>
      <c r="AN40" s="10">
        <v>5.8638196228487323E-2</v>
      </c>
      <c r="AO40" s="10">
        <v>0.88272360754302537</v>
      </c>
      <c r="AP40" s="7">
        <v>5.8638196228487323E-2</v>
      </c>
    </row>
    <row r="41" spans="1:42" ht="15" thickBot="1" x14ac:dyDescent="0.4">
      <c r="A41" s="30">
        <v>0</v>
      </c>
      <c r="B41" s="27"/>
      <c r="C41" s="30">
        <v>1.5256266985826469E-5</v>
      </c>
      <c r="D41" s="27"/>
      <c r="E41" s="30">
        <v>1.7950060609324739E-23</v>
      </c>
      <c r="F41" s="27"/>
      <c r="G41" s="30">
        <v>1.8142535934977644E-5</v>
      </c>
      <c r="H41" s="27"/>
      <c r="I41" s="30">
        <v>1.8142535934977644E-5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X41" s="8">
        <v>0</v>
      </c>
      <c r="Y41" s="12">
        <v>0</v>
      </c>
      <c r="Z41" s="12">
        <v>0</v>
      </c>
      <c r="AA41" s="12">
        <v>0</v>
      </c>
      <c r="AB41" s="12">
        <v>0</v>
      </c>
      <c r="AC41" s="12">
        <v>0</v>
      </c>
      <c r="AD41" s="12">
        <v>0</v>
      </c>
      <c r="AE41" s="12">
        <v>0</v>
      </c>
      <c r="AF41" s="12">
        <v>0</v>
      </c>
      <c r="AG41" s="12">
        <v>0</v>
      </c>
      <c r="AH41" s="12">
        <v>0</v>
      </c>
      <c r="AI41" s="12">
        <v>0</v>
      </c>
      <c r="AJ41" s="12">
        <v>0</v>
      </c>
      <c r="AK41" s="12">
        <v>0</v>
      </c>
      <c r="AL41" s="12">
        <v>0</v>
      </c>
      <c r="AM41" s="12">
        <v>0</v>
      </c>
      <c r="AN41" s="12">
        <v>0</v>
      </c>
      <c r="AO41" s="12">
        <v>5.8638196228487323E-2</v>
      </c>
      <c r="AP41" s="9">
        <v>0.88272360754302537</v>
      </c>
    </row>
    <row r="42" spans="1:42" x14ac:dyDescent="0.35">
      <c r="A42" s="30">
        <v>0</v>
      </c>
      <c r="B42" s="27"/>
      <c r="C42" s="30">
        <v>4.9698496825096455E-5</v>
      </c>
      <c r="D42" s="27"/>
      <c r="E42" s="30">
        <v>3.4107354277836965E-22</v>
      </c>
      <c r="F42" s="27"/>
      <c r="G42" s="30">
        <v>5.7326942767941947E-5</v>
      </c>
      <c r="H42" s="27"/>
      <c r="I42" s="30">
        <v>5.7326942767941947E-5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42" ht="15" thickBot="1" x14ac:dyDescent="0.4">
      <c r="A43" s="30">
        <v>0</v>
      </c>
      <c r="B43" s="27"/>
      <c r="C43" s="30">
        <v>1.4654185875049043E-4</v>
      </c>
      <c r="D43" s="27"/>
      <c r="E43" s="30">
        <v>6.4807733304216777E-21</v>
      </c>
      <c r="F43" s="27"/>
      <c r="G43" s="30">
        <v>1.6420367934503314E-4</v>
      </c>
      <c r="H43" s="27"/>
      <c r="I43" s="30">
        <v>1.6420367934503314E-4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X43" s="28" t="s">
        <v>28</v>
      </c>
    </row>
    <row r="44" spans="1:42" x14ac:dyDescent="0.35">
      <c r="A44" s="30">
        <v>0</v>
      </c>
      <c r="B44" s="27"/>
      <c r="C44" s="30">
        <v>3.9005893911978176E-4</v>
      </c>
      <c r="D44" s="27"/>
      <c r="E44" s="30">
        <v>1.2314183542547546E-19</v>
      </c>
      <c r="F44" s="27"/>
      <c r="G44" s="30">
        <v>4.2560662739630296E-4</v>
      </c>
      <c r="H44" s="27"/>
      <c r="I44" s="30">
        <v>4.2560662739630307E-4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X44" s="2">
        <v>0.89751270908077141</v>
      </c>
      <c r="Y44" s="11">
        <v>4.7234771261686265E-2</v>
      </c>
      <c r="Z44" s="11">
        <v>2.4858964041065568E-3</v>
      </c>
      <c r="AA44" s="11">
        <v>1.3082906441345377E-4</v>
      </c>
      <c r="AB44" s="11">
        <v>6.8853408641746268E-6</v>
      </c>
      <c r="AC44" s="11">
        <v>3.6236534311712012E-7</v>
      </c>
      <c r="AD44" s="11">
        <v>1.9070754009522622E-8</v>
      </c>
      <c r="AE44" s="11">
        <v>1.0036656799548673E-9</v>
      </c>
      <c r="AF44" s="11">
        <v>5.2821445686744595E-11</v>
      </c>
      <c r="AG44" s="11">
        <v>2.7799148463093564E-12</v>
      </c>
      <c r="AH44" s="11">
        <v>1.4630282174708577E-13</v>
      </c>
      <c r="AI44" s="11">
        <v>7.6997019097820311E-15</v>
      </c>
      <c r="AJ44" s="11">
        <v>4.0522396486643222E-16</v>
      </c>
      <c r="AK44" s="11">
        <v>2.1326340113694103E-17</v>
      </c>
      <c r="AL44" s="11">
        <v>1.1223738526787211E-18</v>
      </c>
      <c r="AM44" s="11">
        <v>5.9068881879748861E-20</v>
      </c>
      <c r="AN44" s="11">
        <v>3.1087081407570423E-21</v>
      </c>
      <c r="AO44" s="11">
        <v>1.6360547666269747E-22</v>
      </c>
      <c r="AP44" s="3">
        <v>8.5865324904122932E-24</v>
      </c>
    </row>
    <row r="45" spans="1:42" x14ac:dyDescent="0.35">
      <c r="A45" s="30">
        <v>0</v>
      </c>
      <c r="B45" s="27"/>
      <c r="C45" s="30">
        <v>9.3273219097529973E-4</v>
      </c>
      <c r="D45" s="27"/>
      <c r="E45" s="30">
        <v>2.3398305816199132E-18</v>
      </c>
      <c r="F45" s="27"/>
      <c r="G45" s="30">
        <v>9.9407410246318112E-4</v>
      </c>
      <c r="H45" s="27"/>
      <c r="I45" s="30">
        <v>9.9407410246318351E-4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X45" s="4">
        <v>4.7234771261686272E-2</v>
      </c>
      <c r="Y45" s="10">
        <v>0.89999860548487787</v>
      </c>
      <c r="Z45" s="10">
        <v>4.7365600326099731E-2</v>
      </c>
      <c r="AA45" s="10">
        <v>2.4927817449707313E-3</v>
      </c>
      <c r="AB45" s="10">
        <v>1.3119142975657089E-4</v>
      </c>
      <c r="AC45" s="10">
        <v>6.9044116181841483E-6</v>
      </c>
      <c r="AD45" s="10">
        <v>3.63369008797075E-7</v>
      </c>
      <c r="AE45" s="10">
        <v>1.9123575455209366E-8</v>
      </c>
      <c r="AF45" s="10">
        <v>1.0064455948011765E-9</v>
      </c>
      <c r="AG45" s="10">
        <v>5.2967748508491696E-11</v>
      </c>
      <c r="AH45" s="10">
        <v>2.7876145482191374E-12</v>
      </c>
      <c r="AI45" s="10">
        <v>1.4670804571195227E-13</v>
      </c>
      <c r="AJ45" s="10">
        <v>7.7210282498957192E-15</v>
      </c>
      <c r="AK45" s="10">
        <v>4.0634633871911112E-16</v>
      </c>
      <c r="AL45" s="10">
        <v>2.138540899557385E-17</v>
      </c>
      <c r="AM45" s="10">
        <v>1.1254825608194781E-18</v>
      </c>
      <c r="AN45" s="10">
        <v>5.9232487356411593E-20</v>
      </c>
      <c r="AO45" s="10">
        <v>3.1172946732474525E-21</v>
      </c>
      <c r="AP45" s="7">
        <v>1.6360547666269731E-22</v>
      </c>
    </row>
    <row r="46" spans="1:42" x14ac:dyDescent="0.35">
      <c r="A46" s="30">
        <v>0</v>
      </c>
      <c r="B46" s="27"/>
      <c r="C46" s="30">
        <v>1.9972869450548833E-3</v>
      </c>
      <c r="D46" s="27"/>
      <c r="E46" s="30">
        <v>4.4459359662510529E-17</v>
      </c>
      <c r="F46" s="27"/>
      <c r="G46" s="30">
        <v>2.0867685068965409E-3</v>
      </c>
      <c r="H46" s="27"/>
      <c r="I46" s="30">
        <v>2.0867685068965856E-3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X46" s="4">
        <v>2.4858964041065568E-3</v>
      </c>
      <c r="Y46" s="10">
        <v>4.7365600326099731E-2</v>
      </c>
      <c r="Z46" s="10">
        <v>0.90000549082574222</v>
      </c>
      <c r="AA46" s="10">
        <v>4.7365962691442852E-2</v>
      </c>
      <c r="AB46" s="10">
        <v>2.4928008157247411E-3</v>
      </c>
      <c r="AC46" s="10">
        <v>1.3119243342225084E-4</v>
      </c>
      <c r="AD46" s="10">
        <v>6.9044644396298359E-6</v>
      </c>
      <c r="AE46" s="10">
        <v>3.6337178871192127E-7</v>
      </c>
      <c r="AF46" s="10">
        <v>1.9123721758031113E-8</v>
      </c>
      <c r="AG46" s="10">
        <v>1.0064532945030864E-9</v>
      </c>
      <c r="AH46" s="10">
        <v>5.2968153732456541E-11</v>
      </c>
      <c r="AI46" s="10">
        <v>2.7876358745592521E-12</v>
      </c>
      <c r="AJ46" s="10">
        <v>1.4670916808580485E-13</v>
      </c>
      <c r="AK46" s="10">
        <v>7.7210873187776023E-15</v>
      </c>
      <c r="AL46" s="10">
        <v>4.0634944742725183E-16</v>
      </c>
      <c r="AM46" s="10">
        <v>2.1385572601050512E-17</v>
      </c>
      <c r="AN46" s="10">
        <v>1.1254911473519691E-18</v>
      </c>
      <c r="AO46" s="10">
        <v>5.9232487356411557E-20</v>
      </c>
      <c r="AP46" s="7">
        <v>3.1087081407570374E-21</v>
      </c>
    </row>
    <row r="47" spans="1:42" x14ac:dyDescent="0.35">
      <c r="A47" s="30">
        <v>0</v>
      </c>
      <c r="B47" s="27"/>
      <c r="C47" s="30">
        <v>3.8290358398809761E-3</v>
      </c>
      <c r="D47" s="27"/>
      <c r="E47" s="30">
        <v>8.4477683005237186E-16</v>
      </c>
      <c r="F47" s="27"/>
      <c r="G47" s="30">
        <v>3.9382632178373098E-3</v>
      </c>
      <c r="H47" s="27"/>
      <c r="I47" s="30">
        <v>3.9382632178381546E-3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X47" s="4">
        <v>1.3082906441345377E-4</v>
      </c>
      <c r="Y47" s="10">
        <v>2.4927817449707313E-3</v>
      </c>
      <c r="Z47" s="10">
        <v>4.7365962691442852E-2</v>
      </c>
      <c r="AA47" s="10">
        <v>0.90000550989649619</v>
      </c>
      <c r="AB47" s="10">
        <v>4.736596369510853E-2</v>
      </c>
      <c r="AC47" s="10">
        <v>2.4928008685461862E-3</v>
      </c>
      <c r="AD47" s="10">
        <v>1.3119243620216567E-4</v>
      </c>
      <c r="AE47" s="10">
        <v>6.9044645859326556E-6</v>
      </c>
      <c r="AF47" s="10">
        <v>3.6337179641162319E-7</v>
      </c>
      <c r="AG47" s="10">
        <v>1.9123722163255076E-8</v>
      </c>
      <c r="AH47" s="10">
        <v>1.0064533158294262E-9</v>
      </c>
      <c r="AI47" s="10">
        <v>5.296815485483041E-11</v>
      </c>
      <c r="AJ47" s="10">
        <v>2.7876359336281324E-12</v>
      </c>
      <c r="AK47" s="10">
        <v>1.4670917119451305E-13</v>
      </c>
      <c r="AL47" s="10">
        <v>7.7210874823830769E-15</v>
      </c>
      <c r="AM47" s="10">
        <v>4.0634945601378427E-16</v>
      </c>
      <c r="AN47" s="10">
        <v>2.1385572601050521E-17</v>
      </c>
      <c r="AO47" s="10">
        <v>1.1254825608194777E-18</v>
      </c>
      <c r="AP47" s="7">
        <v>5.90688818797488E-20</v>
      </c>
    </row>
    <row r="48" spans="1:42" x14ac:dyDescent="0.35">
      <c r="A48" s="30">
        <v>0</v>
      </c>
      <c r="B48" s="27"/>
      <c r="C48" s="30">
        <v>6.6004054316367187E-3</v>
      </c>
      <c r="D48" s="27"/>
      <c r="E48" s="30">
        <v>1.6051690757820415E-14</v>
      </c>
      <c r="F48" s="27"/>
      <c r="G48" s="30">
        <v>6.7128715071444068E-3</v>
      </c>
      <c r="H48" s="27"/>
      <c r="I48" s="30">
        <v>6.7128715071604582E-3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X48" s="4">
        <v>6.8853408641746277E-6</v>
      </c>
      <c r="Y48" s="10">
        <v>1.3119142975657092E-4</v>
      </c>
      <c r="Z48" s="10">
        <v>2.4928008157247411E-3</v>
      </c>
      <c r="AA48" s="10">
        <v>4.7365963695108537E-2</v>
      </c>
      <c r="AB48" s="10">
        <v>0.90000550994931761</v>
      </c>
      <c r="AC48" s="10">
        <v>4.7365963697888439E-2</v>
      </c>
      <c r="AD48" s="10">
        <v>2.4928008686924889E-3</v>
      </c>
      <c r="AE48" s="10">
        <v>1.3119243620986535E-4</v>
      </c>
      <c r="AF48" s="10">
        <v>6.9044645863378804E-6</v>
      </c>
      <c r="AG48" s="10">
        <v>3.6337179643294952E-7</v>
      </c>
      <c r="AH48" s="10">
        <v>1.9123722164377444E-8</v>
      </c>
      <c r="AI48" s="10">
        <v>1.0064533158884953E-9</v>
      </c>
      <c r="AJ48" s="10">
        <v>5.2968154857939097E-11</v>
      </c>
      <c r="AK48" s="10">
        <v>2.7876359337917385E-12</v>
      </c>
      <c r="AL48" s="10">
        <v>1.4670917120309954E-13</v>
      </c>
      <c r="AM48" s="10">
        <v>7.7210874823830769E-15</v>
      </c>
      <c r="AN48" s="10">
        <v>4.0634944742725202E-16</v>
      </c>
      <c r="AO48" s="10">
        <v>2.1385408995573841E-17</v>
      </c>
      <c r="AP48" s="7">
        <v>1.1223738526787199E-18</v>
      </c>
    </row>
    <row r="49" spans="1:42" x14ac:dyDescent="0.35">
      <c r="A49" s="30">
        <v>0</v>
      </c>
      <c r="B49" s="27"/>
      <c r="C49" s="30">
        <v>1.0335577554526118E-2</v>
      </c>
      <c r="D49" s="27"/>
      <c r="E49" s="30">
        <v>3.0499981417426405E-13</v>
      </c>
      <c r="F49" s="27"/>
      <c r="G49" s="30">
        <v>1.0441643416074857E-2</v>
      </c>
      <c r="H49" s="27"/>
      <c r="I49" s="30">
        <v>1.0441643416379856E-2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X49" s="4">
        <v>3.6236534311712023E-7</v>
      </c>
      <c r="Y49" s="10">
        <v>6.9044116181841508E-6</v>
      </c>
      <c r="Z49" s="10">
        <v>1.3119243342225086E-4</v>
      </c>
      <c r="AA49" s="10">
        <v>2.4928008685461867E-3</v>
      </c>
      <c r="AB49" s="10">
        <v>4.7365963697888445E-2</v>
      </c>
      <c r="AC49" s="10">
        <v>0.90000550994946382</v>
      </c>
      <c r="AD49" s="10">
        <v>4.7365963697896134E-2</v>
      </c>
      <c r="AE49" s="10">
        <v>2.4928008686928935E-3</v>
      </c>
      <c r="AF49" s="10">
        <v>1.3119243620988668E-4</v>
      </c>
      <c r="AG49" s="10">
        <v>6.9044645863390018E-6</v>
      </c>
      <c r="AH49" s="10">
        <v>3.6337179643300849E-7</v>
      </c>
      <c r="AI49" s="10">
        <v>1.9123722164380554E-8</v>
      </c>
      <c r="AJ49" s="10">
        <v>1.0064533158886585E-9</v>
      </c>
      <c r="AK49" s="10">
        <v>5.2968154857947686E-11</v>
      </c>
      <c r="AL49" s="10">
        <v>2.7876359337917377E-12</v>
      </c>
      <c r="AM49" s="10">
        <v>1.46709171194513E-13</v>
      </c>
      <c r="AN49" s="10">
        <v>7.7210873187776039E-15</v>
      </c>
      <c r="AO49" s="10">
        <v>4.0634633871911087E-16</v>
      </c>
      <c r="AP49" s="7">
        <v>2.1326340113694078E-17</v>
      </c>
    </row>
    <row r="50" spans="1:42" x14ac:dyDescent="0.35">
      <c r="A50" s="30">
        <v>0</v>
      </c>
      <c r="B50" s="27"/>
      <c r="C50" s="30">
        <v>1.4963490267367477E-2</v>
      </c>
      <c r="D50" s="27"/>
      <c r="E50" s="30">
        <v>5.7953325945438924E-12</v>
      </c>
      <c r="F50" s="27"/>
      <c r="G50" s="30">
        <v>1.5086493361319495E-2</v>
      </c>
      <c r="H50" s="27"/>
      <c r="I50" s="30">
        <v>1.5086493367114828E-2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X50" s="4">
        <v>1.9070754009522626E-8</v>
      </c>
      <c r="Y50" s="10">
        <v>3.6336900879707511E-7</v>
      </c>
      <c r="Z50" s="10">
        <v>6.9044644396298351E-6</v>
      </c>
      <c r="AA50" s="10">
        <v>1.3119243620216567E-4</v>
      </c>
      <c r="AB50" s="10">
        <v>2.4928008686924889E-3</v>
      </c>
      <c r="AC50" s="10">
        <v>4.7365963697896134E-2</v>
      </c>
      <c r="AD50" s="10">
        <v>0.90000550994946416</v>
      </c>
      <c r="AE50" s="10">
        <v>4.7365963697896148E-2</v>
      </c>
      <c r="AF50" s="10">
        <v>2.4928008686928948E-3</v>
      </c>
      <c r="AG50" s="10">
        <v>1.3119243620988673E-4</v>
      </c>
      <c r="AH50" s="10">
        <v>6.9044645863390044E-6</v>
      </c>
      <c r="AI50" s="10">
        <v>3.6337179643300865E-7</v>
      </c>
      <c r="AJ50" s="10">
        <v>1.9123722164380561E-8</v>
      </c>
      <c r="AK50" s="10">
        <v>1.0064533158886587E-9</v>
      </c>
      <c r="AL50" s="10">
        <v>5.2968154857939091E-11</v>
      </c>
      <c r="AM50" s="10">
        <v>2.7876359336281324E-12</v>
      </c>
      <c r="AN50" s="10">
        <v>1.4670916808580493E-13</v>
      </c>
      <c r="AO50" s="10">
        <v>7.7210282498957176E-15</v>
      </c>
      <c r="AP50" s="7">
        <v>4.0522396486643198E-16</v>
      </c>
    </row>
    <row r="51" spans="1:42" x14ac:dyDescent="0.35">
      <c r="A51" s="30">
        <v>0</v>
      </c>
      <c r="B51" s="27"/>
      <c r="C51" s="30">
        <v>2.0591090491935183E-2</v>
      </c>
      <c r="D51" s="27"/>
      <c r="E51" s="30">
        <v>1.1011770604618561E-10</v>
      </c>
      <c r="F51" s="27"/>
      <c r="G51" s="30">
        <v>2.0829317419229054E-2</v>
      </c>
      <c r="H51" s="27"/>
      <c r="I51" s="30">
        <v>2.0829317529346761E-2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X51" s="4">
        <v>1.0036656799548675E-9</v>
      </c>
      <c r="Y51" s="10">
        <v>1.9123575455209369E-8</v>
      </c>
      <c r="Z51" s="10">
        <v>3.6337178871192132E-7</v>
      </c>
      <c r="AA51" s="10">
        <v>6.9044645859326564E-6</v>
      </c>
      <c r="AB51" s="10">
        <v>1.3119243620986538E-4</v>
      </c>
      <c r="AC51" s="10">
        <v>2.4928008686928935E-3</v>
      </c>
      <c r="AD51" s="10">
        <v>4.7365963697896148E-2</v>
      </c>
      <c r="AE51" s="10">
        <v>0.90000550994946416</v>
      </c>
      <c r="AF51" s="10">
        <v>4.7365963697896148E-2</v>
      </c>
      <c r="AG51" s="10">
        <v>2.4928008686928948E-3</v>
      </c>
      <c r="AH51" s="10">
        <v>1.3119243620988673E-4</v>
      </c>
      <c r="AI51" s="10">
        <v>6.9044645863390044E-6</v>
      </c>
      <c r="AJ51" s="10">
        <v>3.6337179643300865E-7</v>
      </c>
      <c r="AK51" s="10">
        <v>1.9123722164380554E-8</v>
      </c>
      <c r="AL51" s="10">
        <v>1.0064533158884949E-9</v>
      </c>
      <c r="AM51" s="10">
        <v>5.2968154854830384E-11</v>
      </c>
      <c r="AN51" s="10">
        <v>2.7876358745592517E-12</v>
      </c>
      <c r="AO51" s="10">
        <v>1.4670804571195215E-13</v>
      </c>
      <c r="AP51" s="7">
        <v>7.6997019097820217E-15</v>
      </c>
    </row>
    <row r="52" spans="1:42" x14ac:dyDescent="0.35">
      <c r="A52" s="30">
        <v>0</v>
      </c>
      <c r="B52" s="27"/>
      <c r="C52" s="30">
        <v>2.8125547953581551E-2</v>
      </c>
      <c r="D52" s="27"/>
      <c r="E52" s="30">
        <v>2.0923577701632298E-9</v>
      </c>
      <c r="F52" s="27"/>
      <c r="G52" s="30">
        <v>2.8727942074308628E-2</v>
      </c>
      <c r="H52" s="27"/>
      <c r="I52" s="30">
        <v>2.8727944166666398E-2</v>
      </c>
      <c r="X52" s="4">
        <v>5.2821445686744608E-11</v>
      </c>
      <c r="Y52" s="10">
        <v>1.0064455948011767E-9</v>
      </c>
      <c r="Z52" s="10">
        <v>1.9123721758031109E-8</v>
      </c>
      <c r="AA52" s="10">
        <v>3.6337179641162313E-7</v>
      </c>
      <c r="AB52" s="10">
        <v>6.9044645863378778E-6</v>
      </c>
      <c r="AC52" s="10">
        <v>1.3119243620988665E-4</v>
      </c>
      <c r="AD52" s="10">
        <v>2.4928008686928948E-3</v>
      </c>
      <c r="AE52" s="10">
        <v>4.7365963697896148E-2</v>
      </c>
      <c r="AF52" s="10">
        <v>0.90000550994946416</v>
      </c>
      <c r="AG52" s="10">
        <v>4.7365963697896148E-2</v>
      </c>
      <c r="AH52" s="10">
        <v>2.4928008686928948E-3</v>
      </c>
      <c r="AI52" s="10">
        <v>1.3119243620988673E-4</v>
      </c>
      <c r="AJ52" s="10">
        <v>6.9044645863390044E-6</v>
      </c>
      <c r="AK52" s="10">
        <v>3.6337179643300854E-7</v>
      </c>
      <c r="AL52" s="10">
        <v>1.9123722164377444E-8</v>
      </c>
      <c r="AM52" s="10">
        <v>1.0064533158294262E-9</v>
      </c>
      <c r="AN52" s="10">
        <v>5.296815373245656E-11</v>
      </c>
      <c r="AO52" s="10">
        <v>2.7876145482191366E-12</v>
      </c>
      <c r="AP52" s="7">
        <v>1.4630282174708569E-13</v>
      </c>
    </row>
    <row r="53" spans="1:42" x14ac:dyDescent="0.35">
      <c r="A53" s="31">
        <v>0</v>
      </c>
      <c r="B53" s="27"/>
      <c r="C53" s="30">
        <v>4.0542650754938493E-2</v>
      </c>
      <c r="D53" s="27"/>
      <c r="E53" s="30">
        <v>3.9757103517269395E-8</v>
      </c>
      <c r="F53" s="27"/>
      <c r="G53" s="30">
        <v>4.2016988425706656E-2</v>
      </c>
      <c r="H53" s="27"/>
      <c r="I53" s="30">
        <v>4.2017028182810175E-2</v>
      </c>
      <c r="X53" s="4">
        <v>2.779914846309356E-12</v>
      </c>
      <c r="Y53" s="10">
        <v>5.2967748508491689E-11</v>
      </c>
      <c r="Z53" s="10">
        <v>1.006453294503086E-9</v>
      </c>
      <c r="AA53" s="10">
        <v>1.9123722163255073E-8</v>
      </c>
      <c r="AB53" s="10">
        <v>3.6337179643294936E-7</v>
      </c>
      <c r="AC53" s="10">
        <v>6.9044645863389985E-6</v>
      </c>
      <c r="AD53" s="10">
        <v>1.3119243620988671E-4</v>
      </c>
      <c r="AE53" s="10">
        <v>2.4928008686928948E-3</v>
      </c>
      <c r="AF53" s="10">
        <v>4.7365963697896148E-2</v>
      </c>
      <c r="AG53" s="10">
        <v>0.90000550994946416</v>
      </c>
      <c r="AH53" s="10">
        <v>4.7365963697896148E-2</v>
      </c>
      <c r="AI53" s="10">
        <v>2.4928008686928948E-3</v>
      </c>
      <c r="AJ53" s="10">
        <v>1.3119243620988673E-4</v>
      </c>
      <c r="AK53" s="10">
        <v>6.9044645863390018E-6</v>
      </c>
      <c r="AL53" s="10">
        <v>3.6337179643294946E-7</v>
      </c>
      <c r="AM53" s="10">
        <v>1.9123722163255073E-8</v>
      </c>
      <c r="AN53" s="10">
        <v>1.0064532945030864E-9</v>
      </c>
      <c r="AO53" s="10">
        <v>5.2967748508491663E-11</v>
      </c>
      <c r="AP53" s="7">
        <v>2.779914846309354E-12</v>
      </c>
    </row>
    <row r="54" spans="1:42" x14ac:dyDescent="0.35">
      <c r="A54" s="30">
        <v>0</v>
      </c>
      <c r="B54" s="27"/>
      <c r="C54" s="30">
        <v>6.5127049535216142E-2</v>
      </c>
      <c r="D54" s="27"/>
      <c r="E54" s="30">
        <v>7.5542878116851202E-7</v>
      </c>
      <c r="F54" s="27"/>
      <c r="G54" s="30">
        <v>6.8281696214938722E-2</v>
      </c>
      <c r="H54" s="27"/>
      <c r="I54" s="30">
        <v>6.8282451643719891E-2</v>
      </c>
      <c r="X54" s="4">
        <v>1.4630282174708579E-13</v>
      </c>
      <c r="Y54" s="10">
        <v>2.7876145482191374E-12</v>
      </c>
      <c r="Z54" s="10">
        <v>5.2968153732456534E-11</v>
      </c>
      <c r="AA54" s="10">
        <v>1.0064533158294262E-9</v>
      </c>
      <c r="AB54" s="10">
        <v>1.9123722164377441E-8</v>
      </c>
      <c r="AC54" s="10">
        <v>3.6337179643300833E-7</v>
      </c>
      <c r="AD54" s="10">
        <v>6.9044645863390018E-6</v>
      </c>
      <c r="AE54" s="10">
        <v>1.3119243620988671E-4</v>
      </c>
      <c r="AF54" s="10">
        <v>2.4928008686928948E-3</v>
      </c>
      <c r="AG54" s="10">
        <v>4.7365963697896148E-2</v>
      </c>
      <c r="AH54" s="10">
        <v>0.90000550994946416</v>
      </c>
      <c r="AI54" s="10">
        <v>4.7365963697896148E-2</v>
      </c>
      <c r="AJ54" s="10">
        <v>2.4928008686928948E-3</v>
      </c>
      <c r="AK54" s="10">
        <v>1.3119243620988668E-4</v>
      </c>
      <c r="AL54" s="10">
        <v>6.9044645863378795E-6</v>
      </c>
      <c r="AM54" s="10">
        <v>3.6337179641162308E-7</v>
      </c>
      <c r="AN54" s="10">
        <v>1.9123721758031116E-8</v>
      </c>
      <c r="AO54" s="10">
        <v>1.0064455948011763E-9</v>
      </c>
      <c r="AP54" s="7">
        <v>5.2821445686744569E-11</v>
      </c>
    </row>
    <row r="55" spans="1:42" x14ac:dyDescent="0.35">
      <c r="A55" s="30">
        <v>0</v>
      </c>
      <c r="B55" s="27"/>
      <c r="C55" s="30">
        <v>0.11620039967717985</v>
      </c>
      <c r="D55" s="27"/>
      <c r="E55" s="30">
        <v>1.4353979362954827E-5</v>
      </c>
      <c r="F55" s="27"/>
      <c r="G55" s="30">
        <v>0.12185594718400002</v>
      </c>
      <c r="H55" s="27"/>
      <c r="I55" s="30">
        <v>0.12187030116336298</v>
      </c>
      <c r="X55" s="4">
        <v>7.6997019097820264E-15</v>
      </c>
      <c r="Y55" s="10">
        <v>1.467080457119522E-13</v>
      </c>
      <c r="Z55" s="10">
        <v>2.7876358745592501E-12</v>
      </c>
      <c r="AA55" s="10">
        <v>5.2968154854830371E-11</v>
      </c>
      <c r="AB55" s="10">
        <v>1.0064533158884947E-9</v>
      </c>
      <c r="AC55" s="10">
        <v>1.9123722164380545E-8</v>
      </c>
      <c r="AD55" s="10">
        <v>3.6337179643300854E-7</v>
      </c>
      <c r="AE55" s="10">
        <v>6.9044645863390018E-6</v>
      </c>
      <c r="AF55" s="10">
        <v>1.3119243620988671E-4</v>
      </c>
      <c r="AG55" s="10">
        <v>2.4928008686928948E-3</v>
      </c>
      <c r="AH55" s="10">
        <v>4.7365963697896148E-2</v>
      </c>
      <c r="AI55" s="10">
        <v>0.90000550994946416</v>
      </c>
      <c r="AJ55" s="10">
        <v>4.7365963697896148E-2</v>
      </c>
      <c r="AK55" s="10">
        <v>2.492800868692894E-3</v>
      </c>
      <c r="AL55" s="10">
        <v>1.3119243620986535E-4</v>
      </c>
      <c r="AM55" s="10">
        <v>6.9044645859326547E-6</v>
      </c>
      <c r="AN55" s="10">
        <v>3.6337178871192132E-7</v>
      </c>
      <c r="AO55" s="10">
        <v>1.9123575455209363E-8</v>
      </c>
      <c r="AP55" s="7">
        <v>1.0036656799548666E-9</v>
      </c>
    </row>
    <row r="56" spans="1:42" x14ac:dyDescent="0.35">
      <c r="A56" s="30">
        <v>0</v>
      </c>
      <c r="B56" s="27"/>
      <c r="C56" s="30">
        <v>0.21560776766274223</v>
      </c>
      <c r="D56" s="27"/>
      <c r="E56" s="30">
        <v>2.7274142670793061E-4</v>
      </c>
      <c r="F56" s="27"/>
      <c r="G56" s="30">
        <v>0.22354436375601677</v>
      </c>
      <c r="H56" s="27"/>
      <c r="I56" s="30">
        <v>0.22381710518272471</v>
      </c>
      <c r="X56" s="4">
        <v>4.0522396486643227E-16</v>
      </c>
      <c r="Y56" s="10">
        <v>7.7210282498957207E-15</v>
      </c>
      <c r="Z56" s="10">
        <v>1.4670916808580485E-13</v>
      </c>
      <c r="AA56" s="10">
        <v>2.7876359336281316E-12</v>
      </c>
      <c r="AB56" s="10">
        <v>5.2968154857939065E-11</v>
      </c>
      <c r="AC56" s="10">
        <v>1.0064533158886579E-9</v>
      </c>
      <c r="AD56" s="10">
        <v>1.9123722164380554E-8</v>
      </c>
      <c r="AE56" s="10">
        <v>3.6337179643300854E-7</v>
      </c>
      <c r="AF56" s="10">
        <v>6.9044645863390018E-6</v>
      </c>
      <c r="AG56" s="10">
        <v>1.3119243620988671E-4</v>
      </c>
      <c r="AH56" s="10">
        <v>2.4928008686928948E-3</v>
      </c>
      <c r="AI56" s="10">
        <v>4.7365963697896148E-2</v>
      </c>
      <c r="AJ56" s="10">
        <v>0.90000550994946416</v>
      </c>
      <c r="AK56" s="10">
        <v>4.7365963697896134E-2</v>
      </c>
      <c r="AL56" s="10">
        <v>2.4928008686924885E-3</v>
      </c>
      <c r="AM56" s="10">
        <v>1.3119243620216564E-4</v>
      </c>
      <c r="AN56" s="10">
        <v>6.9044644396298351E-6</v>
      </c>
      <c r="AO56" s="10">
        <v>3.6336900879707495E-7</v>
      </c>
      <c r="AP56" s="7">
        <v>1.9070754009522613E-8</v>
      </c>
    </row>
    <row r="57" spans="1:42" x14ac:dyDescent="0.35">
      <c r="A57" s="30">
        <v>0</v>
      </c>
      <c r="B57" s="27"/>
      <c r="C57" s="30">
        <v>0.38592618402990303</v>
      </c>
      <c r="D57" s="27"/>
      <c r="E57" s="30">
        <v>5.1823876823078015E-3</v>
      </c>
      <c r="F57" s="27"/>
      <c r="G57" s="30">
        <v>0.38967030341935627</v>
      </c>
      <c r="H57" s="27"/>
      <c r="I57" s="30">
        <v>0.39485269110166404</v>
      </c>
      <c r="X57" s="4">
        <v>2.132634011369409E-17</v>
      </c>
      <c r="Y57" s="10">
        <v>4.0634633871911102E-16</v>
      </c>
      <c r="Z57" s="10">
        <v>7.7210873187775992E-15</v>
      </c>
      <c r="AA57" s="10">
        <v>1.4670917119451295E-13</v>
      </c>
      <c r="AB57" s="10">
        <v>2.7876359337917361E-12</v>
      </c>
      <c r="AC57" s="10">
        <v>5.2968154857947653E-11</v>
      </c>
      <c r="AD57" s="10">
        <v>1.0064533158886581E-9</v>
      </c>
      <c r="AE57" s="10">
        <v>1.9123722164380545E-8</v>
      </c>
      <c r="AF57" s="10">
        <v>3.6337179643300833E-7</v>
      </c>
      <c r="AG57" s="10">
        <v>6.9044645863389985E-6</v>
      </c>
      <c r="AH57" s="10">
        <v>1.3119243620988665E-4</v>
      </c>
      <c r="AI57" s="10">
        <v>2.4928008686928935E-3</v>
      </c>
      <c r="AJ57" s="10">
        <v>4.7365963697896134E-2</v>
      </c>
      <c r="AK57" s="10">
        <v>0.90000550994946382</v>
      </c>
      <c r="AL57" s="10">
        <v>4.7365963697888432E-2</v>
      </c>
      <c r="AM57" s="10">
        <v>2.4928008685461858E-3</v>
      </c>
      <c r="AN57" s="10">
        <v>1.3119243342225084E-4</v>
      </c>
      <c r="AO57" s="10">
        <v>6.9044116181841474E-6</v>
      </c>
      <c r="AP57" s="7">
        <v>3.6236534311711996E-7</v>
      </c>
    </row>
    <row r="58" spans="1:42" ht="15" thickBot="1" x14ac:dyDescent="0.4">
      <c r="A58" s="32">
        <v>0.10971552404894172</v>
      </c>
      <c r="B58" s="27"/>
      <c r="C58" s="32">
        <v>0.63415842246867293</v>
      </c>
      <c r="D58" s="27"/>
      <c r="E58" s="32">
        <v>9.8471077217382214E-2</v>
      </c>
      <c r="F58" s="27"/>
      <c r="G58" s="32">
        <v>0.54173362432682426</v>
      </c>
      <c r="H58" s="27"/>
      <c r="I58" s="32">
        <v>0.6402047015442065</v>
      </c>
      <c r="X58" s="4">
        <v>1.1223738526787201E-18</v>
      </c>
      <c r="Y58" s="10">
        <v>2.1385408995573841E-17</v>
      </c>
      <c r="Z58" s="10">
        <v>4.0634944742725163E-16</v>
      </c>
      <c r="AA58" s="10">
        <v>7.7210874823830721E-15</v>
      </c>
      <c r="AB58" s="10">
        <v>1.4670917120309941E-13</v>
      </c>
      <c r="AC58" s="10">
        <v>2.7876359337917357E-12</v>
      </c>
      <c r="AD58" s="10">
        <v>5.2968154857939058E-11</v>
      </c>
      <c r="AE58" s="10">
        <v>1.0064533158884945E-9</v>
      </c>
      <c r="AF58" s="10">
        <v>1.9123722164377438E-8</v>
      </c>
      <c r="AG58" s="10">
        <v>3.633717964329493E-7</v>
      </c>
      <c r="AH58" s="10">
        <v>6.9044645863378761E-6</v>
      </c>
      <c r="AI58" s="10">
        <v>1.3119243620986532E-4</v>
      </c>
      <c r="AJ58" s="10">
        <v>2.4928008686924885E-3</v>
      </c>
      <c r="AK58" s="10">
        <v>4.7365963697888432E-2</v>
      </c>
      <c r="AL58" s="10">
        <v>0.90000550994931749</v>
      </c>
      <c r="AM58" s="10">
        <v>4.7365963695108516E-2</v>
      </c>
      <c r="AN58" s="10">
        <v>2.4928008157247407E-3</v>
      </c>
      <c r="AO58" s="10">
        <v>1.3119142975657086E-4</v>
      </c>
      <c r="AP58" s="7">
        <v>6.8853408641746226E-6</v>
      </c>
    </row>
    <row r="59" spans="1:42" x14ac:dyDescent="0.35">
      <c r="A59" s="27"/>
      <c r="B59" s="27"/>
      <c r="C59" s="27"/>
      <c r="D59" s="27"/>
      <c r="E59" s="27"/>
      <c r="F59" s="27"/>
      <c r="G59" s="27"/>
      <c r="H59" s="27"/>
      <c r="I59" s="27"/>
      <c r="X59" s="4">
        <v>5.9068881879748824E-20</v>
      </c>
      <c r="Y59" s="10">
        <v>1.1254825608194775E-18</v>
      </c>
      <c r="Z59" s="10">
        <v>2.1385572601050497E-17</v>
      </c>
      <c r="AA59" s="10">
        <v>4.0634945601378402E-16</v>
      </c>
      <c r="AB59" s="10">
        <v>7.7210874823830706E-15</v>
      </c>
      <c r="AC59" s="10">
        <v>1.467091711945129E-13</v>
      </c>
      <c r="AD59" s="10">
        <v>2.78763593362813E-12</v>
      </c>
      <c r="AE59" s="10">
        <v>5.2968154854830352E-11</v>
      </c>
      <c r="AF59" s="10">
        <v>1.0064533158294255E-9</v>
      </c>
      <c r="AG59" s="10">
        <v>1.9123722163255063E-8</v>
      </c>
      <c r="AH59" s="10">
        <v>3.6337179641162297E-7</v>
      </c>
      <c r="AI59" s="10">
        <v>6.9044645859326513E-6</v>
      </c>
      <c r="AJ59" s="10">
        <v>1.3119243620216562E-4</v>
      </c>
      <c r="AK59" s="10">
        <v>2.4928008685461858E-3</v>
      </c>
      <c r="AL59" s="10">
        <v>4.7365963695108516E-2</v>
      </c>
      <c r="AM59" s="10">
        <v>0.90000550989649608</v>
      </c>
      <c r="AN59" s="10">
        <v>4.7365962691442845E-2</v>
      </c>
      <c r="AO59" s="10">
        <v>2.4927817449707308E-3</v>
      </c>
      <c r="AP59" s="7">
        <v>1.3082906441345371E-4</v>
      </c>
    </row>
    <row r="60" spans="1:42" ht="15" thickBot="1" x14ac:dyDescent="0.4">
      <c r="A60" s="1" t="s">
        <v>29</v>
      </c>
      <c r="X60" s="4">
        <v>3.1087081407570382E-21</v>
      </c>
      <c r="Y60" s="10">
        <v>5.9232487356411533E-20</v>
      </c>
      <c r="Z60" s="10">
        <v>1.1254911473519674E-18</v>
      </c>
      <c r="AA60" s="10">
        <v>2.138557260105049E-17</v>
      </c>
      <c r="AB60" s="10">
        <v>4.0634944742725143E-16</v>
      </c>
      <c r="AC60" s="10">
        <v>7.7210873187775929E-15</v>
      </c>
      <c r="AD60" s="10">
        <v>1.4670916808580473E-13</v>
      </c>
      <c r="AE60" s="10">
        <v>2.7876358745592485E-12</v>
      </c>
      <c r="AF60" s="10">
        <v>5.2968153732456502E-11</v>
      </c>
      <c r="AG60" s="10">
        <v>1.0064532945030856E-9</v>
      </c>
      <c r="AH60" s="10">
        <v>1.9123721758031096E-8</v>
      </c>
      <c r="AI60" s="10">
        <v>3.6337178871192101E-7</v>
      </c>
      <c r="AJ60" s="10">
        <v>6.90446443962983E-6</v>
      </c>
      <c r="AK60" s="10">
        <v>1.3119243342225075E-4</v>
      </c>
      <c r="AL60" s="10">
        <v>2.4928008157247402E-3</v>
      </c>
      <c r="AM60" s="10">
        <v>4.7365962691442838E-2</v>
      </c>
      <c r="AN60" s="10">
        <v>0.9000054908257421</v>
      </c>
      <c r="AO60" s="10">
        <v>4.7365600326099724E-2</v>
      </c>
      <c r="AP60" s="7">
        <v>2.485896404106556E-3</v>
      </c>
    </row>
    <row r="61" spans="1:42" x14ac:dyDescent="0.35">
      <c r="A61" s="38">
        <v>9.5890410958904133E-5</v>
      </c>
      <c r="B61" s="47">
        <f>B12*$B$5*EXP($E$7*B$37+$E$8*$A12)</f>
        <v>0</v>
      </c>
      <c r="C61" s="40">
        <f t="shared" ref="C61:V61" si="0">C12*$B$5*EXP($E$7*C$37+$E$8*$A12)</f>
        <v>5.3885845441718641E-4</v>
      </c>
      <c r="D61" s="40">
        <f t="shared" si="0"/>
        <v>1.9986966533788986E-3</v>
      </c>
      <c r="E61" s="40">
        <f t="shared" si="0"/>
        <v>6.3896559848908348E-3</v>
      </c>
      <c r="F61" s="40">
        <f t="shared" si="0"/>
        <v>1.8517032168257196E-2</v>
      </c>
      <c r="G61" s="40">
        <f t="shared" si="0"/>
        <v>4.8558658538325521E-2</v>
      </c>
      <c r="H61" s="40">
        <f t="shared" si="0"/>
        <v>0.11474845850225195</v>
      </c>
      <c r="I61" s="40">
        <f t="shared" si="0"/>
        <v>0.24370934130707589</v>
      </c>
      <c r="J61" s="40">
        <f>J12*$B$5*EXP($E$7*J$37+$E$8*$A12)</f>
        <v>0.46534220469340548</v>
      </c>
      <c r="K61" s="40">
        <f t="shared" si="0"/>
        <v>0.80250147606867395</v>
      </c>
      <c r="L61" s="41">
        <f>L12*$B$5*EXP($E$7*L$37+$E$8*$A12)</f>
        <v>1.2629209430637083</v>
      </c>
      <c r="M61" s="40">
        <f t="shared" si="0"/>
        <v>1.8461433286455848</v>
      </c>
      <c r="N61" s="40">
        <f t="shared" si="0"/>
        <v>2.5788254728212823</v>
      </c>
      <c r="O61" s="40">
        <f t="shared" si="0"/>
        <v>3.59849795842005</v>
      </c>
      <c r="P61" s="40">
        <f t="shared" si="0"/>
        <v>5.3249047823870237</v>
      </c>
      <c r="Q61" s="40">
        <f t="shared" si="0"/>
        <v>8.7551869069476354</v>
      </c>
      <c r="R61" s="40">
        <f t="shared" si="0"/>
        <v>15.809713585735038</v>
      </c>
      <c r="S61" s="40">
        <f t="shared" si="0"/>
        <v>29.375765584508237</v>
      </c>
      <c r="T61" s="40">
        <f t="shared" si="0"/>
        <v>52.432531157523243</v>
      </c>
      <c r="U61" s="40">
        <f t="shared" si="0"/>
        <v>86.011076304552248</v>
      </c>
      <c r="V61" s="52">
        <f t="shared" si="0"/>
        <v>127.16385234081304</v>
      </c>
      <c r="X61" s="4">
        <v>1.6360547666269735E-22</v>
      </c>
      <c r="Y61" s="10">
        <v>3.1172946732474506E-21</v>
      </c>
      <c r="Z61" s="10">
        <v>5.9232487356411509E-20</v>
      </c>
      <c r="AA61" s="10">
        <v>1.1254825608194767E-18</v>
      </c>
      <c r="AB61" s="10">
        <v>2.1385408995573825E-17</v>
      </c>
      <c r="AC61" s="10">
        <v>4.0634633871911058E-16</v>
      </c>
      <c r="AD61" s="10">
        <v>7.7210282498957129E-15</v>
      </c>
      <c r="AE61" s="10">
        <v>1.4670804571195205E-13</v>
      </c>
      <c r="AF61" s="10">
        <v>2.7876145482191345E-12</v>
      </c>
      <c r="AG61" s="10">
        <v>5.2967748508491631E-11</v>
      </c>
      <c r="AH61" s="10">
        <v>1.0064455948011757E-9</v>
      </c>
      <c r="AI61" s="10">
        <v>1.9123575455209353E-8</v>
      </c>
      <c r="AJ61" s="10">
        <v>3.6336900879707474E-7</v>
      </c>
      <c r="AK61" s="10">
        <v>6.904411618184144E-6</v>
      </c>
      <c r="AL61" s="10">
        <v>1.3119142975657081E-4</v>
      </c>
      <c r="AM61" s="10">
        <v>2.4927817449707304E-3</v>
      </c>
      <c r="AN61" s="10">
        <v>4.7365600326099717E-2</v>
      </c>
      <c r="AO61" s="10">
        <v>0.89999860548487798</v>
      </c>
      <c r="AP61" s="7">
        <v>4.7234771261686272E-2</v>
      </c>
    </row>
    <row r="62" spans="1:42" ht="15" thickBot="1" x14ac:dyDescent="0.4">
      <c r="A62" s="39">
        <v>9.1894977168949799E-5</v>
      </c>
      <c r="B62" s="48">
        <f>B13*$B$5*EXP($E$7*B$37+$E$8*$A13)</f>
        <v>0</v>
      </c>
      <c r="C62" s="42">
        <f t="shared" ref="C62:V75" si="1">C13*$B$5*EXP($E$7*C$37+$E$8*$A13)</f>
        <v>4.4046724277232795E-4</v>
      </c>
      <c r="D62" s="42">
        <f t="shared" si="1"/>
        <v>1.6807605640035187E-3</v>
      </c>
      <c r="E62" s="42">
        <f t="shared" si="1"/>
        <v>5.5395007353386703E-3</v>
      </c>
      <c r="F62" s="42">
        <f t="shared" si="1"/>
        <v>1.6525662106342535E-2</v>
      </c>
      <c r="G62" s="42">
        <f t="shared" si="1"/>
        <v>4.4503811739334709E-2</v>
      </c>
      <c r="H62" s="42">
        <f t="shared" si="1"/>
        <v>0.10766975924029709</v>
      </c>
      <c r="I62" s="42">
        <f t="shared" si="1"/>
        <v>0.23326363624210633</v>
      </c>
      <c r="J62" s="42">
        <f t="shared" si="1"/>
        <v>0.45244501876461657</v>
      </c>
      <c r="K62" s="42">
        <f t="shared" si="1"/>
        <v>0.78907229383382638</v>
      </c>
      <c r="L62" s="42">
        <f>L13*$B$5*EXP($E$7*L$37+$E$8*$A13)</f>
        <v>1.2501172082481857</v>
      </c>
      <c r="M62" s="42">
        <f t="shared" si="1"/>
        <v>1.8311279452344804</v>
      </c>
      <c r="N62" s="42">
        <f t="shared" si="1"/>
        <v>2.5493821107569286</v>
      </c>
      <c r="O62" s="42">
        <f t="shared" si="1"/>
        <v>3.5231114418502578</v>
      </c>
      <c r="P62" s="42">
        <f t="shared" si="1"/>
        <v>5.1381565299094909</v>
      </c>
      <c r="Q62" s="42">
        <f t="shared" si="1"/>
        <v>8.3507675652804867</v>
      </c>
      <c r="R62" s="42">
        <f t="shared" si="1"/>
        <v>15.074482628102002</v>
      </c>
      <c r="S62" s="42">
        <f t="shared" si="1"/>
        <v>28.298863777251835</v>
      </c>
      <c r="T62" s="42">
        <f t="shared" si="1"/>
        <v>51.248203110827333</v>
      </c>
      <c r="U62" s="42">
        <f t="shared" si="1"/>
        <v>85.200464774941793</v>
      </c>
      <c r="V62" s="53">
        <f t="shared" si="1"/>
        <v>127.16588465606299</v>
      </c>
      <c r="X62" s="8">
        <v>8.5865324904122932E-24</v>
      </c>
      <c r="Y62" s="12">
        <v>1.6360547666269738E-22</v>
      </c>
      <c r="Z62" s="12">
        <v>3.1087081407570374E-21</v>
      </c>
      <c r="AA62" s="12">
        <v>5.90688818797488E-20</v>
      </c>
      <c r="AB62" s="12">
        <v>1.1223738526787196E-18</v>
      </c>
      <c r="AC62" s="12">
        <v>2.1326340113694069E-17</v>
      </c>
      <c r="AD62" s="12">
        <v>4.0522396486643183E-16</v>
      </c>
      <c r="AE62" s="12">
        <v>7.6997019097820185E-15</v>
      </c>
      <c r="AF62" s="12">
        <v>1.4630282174708562E-13</v>
      </c>
      <c r="AG62" s="12">
        <v>2.7799148463093527E-12</v>
      </c>
      <c r="AH62" s="12">
        <v>5.2821445686744549E-11</v>
      </c>
      <c r="AI62" s="12">
        <v>1.0036656799548662E-9</v>
      </c>
      <c r="AJ62" s="12">
        <v>1.9070754009522606E-8</v>
      </c>
      <c r="AK62" s="12">
        <v>3.6236534311711986E-7</v>
      </c>
      <c r="AL62" s="12">
        <v>6.8853408641746209E-6</v>
      </c>
      <c r="AM62" s="12">
        <v>1.3082906441345369E-4</v>
      </c>
      <c r="AN62" s="12">
        <v>2.485896404106556E-3</v>
      </c>
      <c r="AO62" s="12">
        <v>4.7234771261686265E-2</v>
      </c>
      <c r="AP62" s="9">
        <v>0.89751270908077141</v>
      </c>
    </row>
    <row r="63" spans="1:42" x14ac:dyDescent="0.35">
      <c r="A63" s="39">
        <v>8.7899543378995451E-5</v>
      </c>
      <c r="B63" s="48">
        <f t="shared" ref="B63:Q84" si="2">B14*$B$5*EXP($E$7*B$37+$E$8*$A14)</f>
        <v>0</v>
      </c>
      <c r="C63" s="42">
        <f t="shared" si="2"/>
        <v>3.5538514519204139E-4</v>
      </c>
      <c r="D63" s="42">
        <f t="shared" si="2"/>
        <v>1.3977746483674061E-3</v>
      </c>
      <c r="E63" s="42">
        <f t="shared" si="2"/>
        <v>4.7583742535855381E-3</v>
      </c>
      <c r="F63" s="42">
        <f t="shared" si="2"/>
        <v>1.4639974635174195E-2</v>
      </c>
      <c r="G63" s="42">
        <f t="shared" si="2"/>
        <v>4.0559196644208866E-2</v>
      </c>
      <c r="H63" s="42">
        <f t="shared" si="2"/>
        <v>0.10062700116611091</v>
      </c>
      <c r="I63" s="42">
        <f t="shared" si="2"/>
        <v>0.22270065896532454</v>
      </c>
      <c r="J63" s="42">
        <f t="shared" si="2"/>
        <v>0.43930629563573814</v>
      </c>
      <c r="K63" s="42">
        <f t="shared" si="2"/>
        <v>0.77548616911985502</v>
      </c>
      <c r="L63" s="42">
        <f t="shared" si="2"/>
        <v>1.2376100572616444</v>
      </c>
      <c r="M63" s="42">
        <f t="shared" si="2"/>
        <v>1.8174590088740754</v>
      </c>
      <c r="N63" s="42">
        <f t="shared" si="2"/>
        <v>2.5234554885541245</v>
      </c>
      <c r="O63" s="42">
        <f t="shared" si="2"/>
        <v>3.4551323031031016</v>
      </c>
      <c r="P63" s="42">
        <f t="shared" si="2"/>
        <v>4.9636531690493433</v>
      </c>
      <c r="Q63" s="42">
        <f t="shared" si="2"/>
        <v>7.9596168762371136</v>
      </c>
      <c r="R63" s="42">
        <f t="shared" si="1"/>
        <v>14.340601106563227</v>
      </c>
      <c r="S63" s="42">
        <f t="shared" si="1"/>
        <v>27.193866302912859</v>
      </c>
      <c r="T63" s="42">
        <f t="shared" si="1"/>
        <v>50.00569441010073</v>
      </c>
      <c r="U63" s="42">
        <f t="shared" si="1"/>
        <v>84.337280531384991</v>
      </c>
      <c r="V63" s="53">
        <f t="shared" si="1"/>
        <v>127.16791700379306</v>
      </c>
    </row>
    <row r="64" spans="1:42" ht="15" thickBot="1" x14ac:dyDescent="0.4">
      <c r="A64" s="39">
        <v>8.3904109589041118E-5</v>
      </c>
      <c r="B64" s="48">
        <f t="shared" si="2"/>
        <v>0</v>
      </c>
      <c r="C64" s="42">
        <f t="shared" si="1"/>
        <v>2.8265635238981985E-4</v>
      </c>
      <c r="D64" s="62">
        <f>D15*$B$5*EXP($E$7*D$37+$E$8*$A15)</f>
        <v>1.1482619937922915E-3</v>
      </c>
      <c r="E64" s="42">
        <f t="shared" si="1"/>
        <v>4.0458985458475356E-3</v>
      </c>
      <c r="F64" s="42">
        <f t="shared" si="1"/>
        <v>1.2863702859621448E-2</v>
      </c>
      <c r="G64" s="42">
        <f t="shared" si="1"/>
        <v>3.6734292186190606E-2</v>
      </c>
      <c r="H64" s="42">
        <f t="shared" si="1"/>
        <v>9.3629897524441869E-2</v>
      </c>
      <c r="I64" s="42">
        <f t="shared" si="1"/>
        <v>0.21201710914093755</v>
      </c>
      <c r="J64" s="42">
        <f t="shared" si="1"/>
        <v>0.42590121438918666</v>
      </c>
      <c r="K64" s="42">
        <f t="shared" si="1"/>
        <v>0.76170090394618972</v>
      </c>
      <c r="L64" s="42">
        <f t="shared" si="1"/>
        <v>1.2253337086245968</v>
      </c>
      <c r="M64" s="42">
        <f t="shared" si="1"/>
        <v>1.8050103599588849</v>
      </c>
      <c r="N64" s="42">
        <f t="shared" si="1"/>
        <v>2.5008432259285964</v>
      </c>
      <c r="O64" s="42">
        <f t="shared" si="1"/>
        <v>3.3944340852954809</v>
      </c>
      <c r="P64" s="42">
        <f t="shared" si="1"/>
        <v>4.8018184123302117</v>
      </c>
      <c r="Q64" s="42">
        <f t="shared" si="1"/>
        <v>7.5832679050134404</v>
      </c>
      <c r="R64" s="42">
        <f t="shared" si="1"/>
        <v>13.61022145735704</v>
      </c>
      <c r="S64" s="42">
        <f t="shared" si="1"/>
        <v>26.060910318538326</v>
      </c>
      <c r="T64" s="42">
        <f t="shared" si="1"/>
        <v>48.70059953124413</v>
      </c>
      <c r="U64" s="42">
        <f t="shared" si="1"/>
        <v>83.415669551693568</v>
      </c>
      <c r="V64" s="53">
        <f t="shared" si="1"/>
        <v>127.16994938400393</v>
      </c>
      <c r="X64" s="28" t="s">
        <v>27</v>
      </c>
    </row>
    <row r="65" spans="1:42" x14ac:dyDescent="0.35">
      <c r="A65" s="39">
        <v>7.9908675799086784E-5</v>
      </c>
      <c r="B65" s="48">
        <f t="shared" si="2"/>
        <v>0</v>
      </c>
      <c r="C65" s="42">
        <f t="shared" si="1"/>
        <v>2.2127729124400624E-4</v>
      </c>
      <c r="D65" s="42">
        <f t="shared" si="1"/>
        <v>9.3055851129032719E-4</v>
      </c>
      <c r="E65" s="42">
        <f t="shared" si="1"/>
        <v>3.4013304998080796E-3</v>
      </c>
      <c r="F65" s="42">
        <f t="shared" si="1"/>
        <v>1.1200359889383255E-2</v>
      </c>
      <c r="G65" s="42">
        <f t="shared" si="1"/>
        <v>3.3039226668397363E-2</v>
      </c>
      <c r="H65" s="42">
        <f t="shared" si="1"/>
        <v>8.6689791784750003E-2</v>
      </c>
      <c r="I65" s="42">
        <f t="shared" si="1"/>
        <v>0.2012107003872394</v>
      </c>
      <c r="J65" s="42">
        <f t="shared" si="1"/>
        <v>0.41220424147931017</v>
      </c>
      <c r="K65" s="42">
        <f t="shared" si="1"/>
        <v>0.74767481054372176</v>
      </c>
      <c r="L65" s="42">
        <f t="shared" si="1"/>
        <v>1.2132269286650068</v>
      </c>
      <c r="M65" s="42">
        <f t="shared" si="1"/>
        <v>1.7936585225390054</v>
      </c>
      <c r="N65" s="42">
        <f t="shared" si="1"/>
        <v>2.4813262381596397</v>
      </c>
      <c r="O65" s="42">
        <f t="shared" si="1"/>
        <v>3.3408340951322164</v>
      </c>
      <c r="P65" s="42">
        <f t="shared" si="1"/>
        <v>4.6530046562995429</v>
      </c>
      <c r="Q65" s="42">
        <f t="shared" si="1"/>
        <v>7.2233051030064805</v>
      </c>
      <c r="R65" s="42">
        <f t="shared" si="1"/>
        <v>12.885818969653869</v>
      </c>
      <c r="S65" s="42">
        <f t="shared" si="1"/>
        <v>24.900461935354333</v>
      </c>
      <c r="T65" s="42">
        <f t="shared" si="1"/>
        <v>47.328131989845026</v>
      </c>
      <c r="U65" s="42">
        <f t="shared" si="1"/>
        <v>82.428839954032483</v>
      </c>
      <c r="V65" s="53">
        <f t="shared" si="1"/>
        <v>127.17198179669595</v>
      </c>
      <c r="X65" s="2">
        <v>0.79502541816154282</v>
      </c>
      <c r="Y65" s="11">
        <v>9.4469542523372543E-2</v>
      </c>
      <c r="Z65" s="11">
        <v>4.9717928082131128E-3</v>
      </c>
      <c r="AA65" s="11">
        <v>2.6165812882690754E-4</v>
      </c>
      <c r="AB65" s="11">
        <v>1.3770681728349254E-5</v>
      </c>
      <c r="AC65" s="11">
        <v>7.2473068623424035E-7</v>
      </c>
      <c r="AD65" s="11">
        <v>3.8141508019045245E-8</v>
      </c>
      <c r="AE65" s="11">
        <v>2.0073313599097345E-9</v>
      </c>
      <c r="AF65" s="11">
        <v>1.056428913734892E-10</v>
      </c>
      <c r="AG65" s="11">
        <v>5.5598296926187119E-12</v>
      </c>
      <c r="AH65" s="11">
        <v>2.9260564349417164E-13</v>
      </c>
      <c r="AI65" s="11">
        <v>1.5399403819564056E-14</v>
      </c>
      <c r="AJ65" s="11">
        <v>8.1044792973286484E-16</v>
      </c>
      <c r="AK65" s="11">
        <v>4.2652680227388193E-17</v>
      </c>
      <c r="AL65" s="11">
        <v>2.2447477053574422E-18</v>
      </c>
      <c r="AM65" s="11">
        <v>1.1813776375949772E-19</v>
      </c>
      <c r="AN65" s="11">
        <v>6.2174162815140824E-21</v>
      </c>
      <c r="AO65" s="11">
        <v>3.2721095332539509E-22</v>
      </c>
      <c r="AP65" s="3">
        <v>1.7173064980824595E-23</v>
      </c>
    </row>
    <row r="66" spans="1:42" x14ac:dyDescent="0.35">
      <c r="A66" s="39">
        <v>7.5913242009132437E-5</v>
      </c>
      <c r="B66" s="48">
        <f t="shared" si="2"/>
        <v>0</v>
      </c>
      <c r="C66" s="42">
        <f t="shared" si="1"/>
        <v>1.7020809691965788E-4</v>
      </c>
      <c r="D66" s="42">
        <f t="shared" si="1"/>
        <v>7.4281924874208501E-4</v>
      </c>
      <c r="E66" s="42">
        <f t="shared" si="1"/>
        <v>2.8235244495935087E-3</v>
      </c>
      <c r="F66" s="42">
        <f t="shared" si="1"/>
        <v>9.6531479609566189E-3</v>
      </c>
      <c r="G66" s="42">
        <f t="shared" si="1"/>
        <v>2.9484758543565616E-2</v>
      </c>
      <c r="H66" s="42">
        <f t="shared" si="1"/>
        <v>7.9819861535529626E-2</v>
      </c>
      <c r="I66" s="42">
        <f t="shared" si="1"/>
        <v>0.1902803152751209</v>
      </c>
      <c r="J66" s="42">
        <f t="shared" ref="J66" si="3">J17*$B$5*EXP($E$7*J$37+$E$8*$A17)</f>
        <v>0.39818875291786032</v>
      </c>
      <c r="K66" s="42">
        <f t="shared" si="1"/>
        <v>0.73336632647336641</v>
      </c>
      <c r="L66" s="42">
        <f t="shared" si="1"/>
        <v>1.2012337084296894</v>
      </c>
      <c r="M66" s="42">
        <f t="shared" si="1"/>
        <v>1.7832847832804208</v>
      </c>
      <c r="N66" s="42">
        <f t="shared" si="1"/>
        <v>2.4646713399443851</v>
      </c>
      <c r="O66" s="42">
        <f t="shared" si="1"/>
        <v>3.2940909878930222</v>
      </c>
      <c r="P66" s="42">
        <f t="shared" si="1"/>
        <v>4.5174763211493749</v>
      </c>
      <c r="Q66" s="42">
        <f t="shared" si="1"/>
        <v>6.8813442420753166</v>
      </c>
      <c r="R66" s="42">
        <f t="shared" si="1"/>
        <v>12.170222719027574</v>
      </c>
      <c r="S66" s="42">
        <f t="shared" si="1"/>
        <v>23.713409210318851</v>
      </c>
      <c r="T66" s="42">
        <f t="shared" si="1"/>
        <v>45.883108726577973</v>
      </c>
      <c r="U66" s="42">
        <f t="shared" si="1"/>
        <v>81.368865027618597</v>
      </c>
      <c r="V66" s="53">
        <f t="shared" si="1"/>
        <v>127.17401424186971</v>
      </c>
      <c r="X66" s="4">
        <v>9.4469542523372529E-2</v>
      </c>
      <c r="Y66" s="10">
        <v>0.79999721096975585</v>
      </c>
      <c r="Z66" s="10">
        <v>9.4731200652199449E-2</v>
      </c>
      <c r="AA66" s="10">
        <v>4.9855634899414625E-3</v>
      </c>
      <c r="AB66" s="10">
        <v>2.6238285951314178E-4</v>
      </c>
      <c r="AC66" s="10">
        <v>1.3808823236368298E-5</v>
      </c>
      <c r="AD66" s="10">
        <v>7.2673801759415E-7</v>
      </c>
      <c r="AE66" s="10">
        <v>3.8247150910418732E-8</v>
      </c>
      <c r="AF66" s="10">
        <v>2.012891189602353E-9</v>
      </c>
      <c r="AG66" s="10">
        <v>1.0593549701698338E-10</v>
      </c>
      <c r="AH66" s="10">
        <v>5.5752290964382764E-12</v>
      </c>
      <c r="AI66" s="10">
        <v>2.9341609142390445E-13</v>
      </c>
      <c r="AJ66" s="10">
        <v>1.5442056499791445E-14</v>
      </c>
      <c r="AK66" s="10">
        <v>8.1269267743822204E-16</v>
      </c>
      <c r="AL66" s="10">
        <v>4.27708179911477E-17</v>
      </c>
      <c r="AM66" s="10">
        <v>2.2509651216389561E-18</v>
      </c>
      <c r="AN66" s="10">
        <v>1.1846497471282314E-19</v>
      </c>
      <c r="AO66" s="10">
        <v>6.2345893464949073E-21</v>
      </c>
      <c r="AP66" s="7">
        <v>3.272109533253948E-22</v>
      </c>
    </row>
    <row r="67" spans="1:42" x14ac:dyDescent="0.35">
      <c r="A67" s="39">
        <v>7.1917808219178103E-5</v>
      </c>
      <c r="B67" s="48">
        <f t="shared" si="2"/>
        <v>0</v>
      </c>
      <c r="C67" s="42">
        <f t="shared" si="1"/>
        <v>1.2838598915837897E-4</v>
      </c>
      <c r="D67" s="42">
        <f t="shared" si="1"/>
        <v>5.8302950790746467E-4</v>
      </c>
      <c r="E67" s="42">
        <f t="shared" si="1"/>
        <v>2.3108965628523487E-3</v>
      </c>
      <c r="F67" s="42">
        <f t="shared" si="1"/>
        <v>8.2248522111235661E-3</v>
      </c>
      <c r="G67" s="42">
        <f t="shared" si="1"/>
        <v>2.6082236358363518E-2</v>
      </c>
      <c r="H67" s="42">
        <f t="shared" si="1"/>
        <v>7.3035355891029011E-2</v>
      </c>
      <c r="I67" s="42">
        <f t="shared" si="1"/>
        <v>0.17922622582507872</v>
      </c>
      <c r="J67" s="42">
        <f t="shared" ref="J67" si="4">J18*$B$5*EXP($E$7*J$37+$E$8*$A18)</f>
        <v>0.38382659012578535</v>
      </c>
      <c r="K67" s="42">
        <f t="shared" si="1"/>
        <v>0.7187334962922316</v>
      </c>
      <c r="L67" s="42">
        <f t="shared" si="1"/>
        <v>1.1893039029407382</v>
      </c>
      <c r="M67" s="42">
        <f t="shared" si="1"/>
        <v>1.7737773502254166</v>
      </c>
      <c r="N67" s="42">
        <f t="shared" si="1"/>
        <v>2.450634493111385</v>
      </c>
      <c r="O67" s="42">
        <f t="shared" si="1"/>
        <v>3.2539035770510001</v>
      </c>
      <c r="P67" s="42">
        <f t="shared" si="1"/>
        <v>4.3953920954296155</v>
      </c>
      <c r="Q67" s="42">
        <f t="shared" si="1"/>
        <v>6.5590054168298977</v>
      </c>
      <c r="R67" s="42">
        <f t="shared" si="1"/>
        <v>11.466644226552582</v>
      </c>
      <c r="S67" s="42">
        <f t="shared" si="1"/>
        <v>22.501177166830651</v>
      </c>
      <c r="T67" s="42">
        <f t="shared" si="1"/>
        <v>44.359945576000122</v>
      </c>
      <c r="U67" s="42">
        <f t="shared" si="1"/>
        <v>80.226435274762565</v>
      </c>
      <c r="V67" s="53">
        <f t="shared" si="1"/>
        <v>127.17604671952579</v>
      </c>
      <c r="X67" s="4">
        <v>4.9717928082131137E-3</v>
      </c>
      <c r="Y67" s="10">
        <v>9.4731200652199463E-2</v>
      </c>
      <c r="Z67" s="10">
        <v>0.80001098165148432</v>
      </c>
      <c r="AA67" s="10">
        <v>9.4731925382885704E-2</v>
      </c>
      <c r="AB67" s="10">
        <v>4.9856016314494822E-3</v>
      </c>
      <c r="AC67" s="10">
        <v>2.6238486684450167E-4</v>
      </c>
      <c r="AD67" s="10">
        <v>1.380892887925967E-5</v>
      </c>
      <c r="AE67" s="10">
        <v>7.2674357742384254E-7</v>
      </c>
      <c r="AF67" s="10">
        <v>3.8247443516062225E-8</v>
      </c>
      <c r="AG67" s="10">
        <v>2.0129065890061728E-9</v>
      </c>
      <c r="AH67" s="10">
        <v>1.0593630746491311E-10</v>
      </c>
      <c r="AI67" s="10">
        <v>5.5752717491185035E-12</v>
      </c>
      <c r="AJ67" s="10">
        <v>2.9341833617160981E-13</v>
      </c>
      <c r="AK67" s="10">
        <v>1.5442174637555202E-14</v>
      </c>
      <c r="AL67" s="10">
        <v>8.1269889485450375E-16</v>
      </c>
      <c r="AM67" s="10">
        <v>4.2771145202101024E-17</v>
      </c>
      <c r="AN67" s="10">
        <v>2.2509822947039375E-18</v>
      </c>
      <c r="AO67" s="10">
        <v>1.1846497471282314E-19</v>
      </c>
      <c r="AP67" s="7">
        <v>6.2174162815140779E-21</v>
      </c>
    </row>
    <row r="68" spans="1:42" x14ac:dyDescent="0.35">
      <c r="A68" s="39">
        <v>6.7922374429223755E-5</v>
      </c>
      <c r="B68" s="48">
        <f t="shared" si="2"/>
        <v>0</v>
      </c>
      <c r="C68" s="42">
        <f t="shared" si="1"/>
        <v>9.4740384016623125E-5</v>
      </c>
      <c r="D68" s="42">
        <f t="shared" si="1"/>
        <v>4.4902143402931013E-4</v>
      </c>
      <c r="E68" s="42">
        <f t="shared" si="1"/>
        <v>1.8613929373321222E-3</v>
      </c>
      <c r="F68" s="42">
        <f t="shared" si="1"/>
        <v>6.9177179087127685E-3</v>
      </c>
      <c r="G68" s="42">
        <f t="shared" si="1"/>
        <v>2.2843529924209478E-2</v>
      </c>
      <c r="H68" s="42">
        <f t="shared" si="1"/>
        <v>6.6353868600981497E-2</v>
      </c>
      <c r="I68" s="42">
        <f t="shared" si="1"/>
        <v>0.16805040155799827</v>
      </c>
      <c r="J68" s="42">
        <f t="shared" ref="J68" si="5">J19*$B$5*EXP($E$7*J$37+$E$8*$A19)</f>
        <v>0.36908754045182496</v>
      </c>
      <c r="K68" s="42">
        <f t="shared" si="1"/>
        <v>0.70373329859715006</v>
      </c>
      <c r="L68" s="42">
        <f t="shared" si="1"/>
        <v>1.1773938354265552</v>
      </c>
      <c r="M68" s="42">
        <f t="shared" si="1"/>
        <v>1.76503353418125</v>
      </c>
      <c r="N68" s="42">
        <f t="shared" si="1"/>
        <v>2.4389646785945613</v>
      </c>
      <c r="O68" s="42">
        <f t="shared" si="1"/>
        <v>3.2199112188134769</v>
      </c>
      <c r="P68" s="42">
        <f t="shared" si="1"/>
        <v>4.2867865990173968</v>
      </c>
      <c r="Q68" s="42">
        <f t="shared" si="1"/>
        <v>6.2578778661099399</v>
      </c>
      <c r="R68" s="42">
        <f t="shared" si="1"/>
        <v>10.778701072872472</v>
      </c>
      <c r="S68" s="42">
        <f t="shared" si="1"/>
        <v>21.265869248992445</v>
      </c>
      <c r="T68" s="42">
        <f t="shared" si="1"/>
        <v>42.752671222702745</v>
      </c>
      <c r="U68" s="42">
        <f t="shared" si="1"/>
        <v>78.990543927092418</v>
      </c>
      <c r="V68" s="53">
        <f t="shared" si="1"/>
        <v>127.17807922966459</v>
      </c>
      <c r="X68" s="4">
        <v>2.6165812882690754E-4</v>
      </c>
      <c r="Y68" s="10">
        <v>4.9855634899414625E-3</v>
      </c>
      <c r="Z68" s="10">
        <v>9.473192538288569E-2</v>
      </c>
      <c r="AA68" s="10">
        <v>0.80001101979299227</v>
      </c>
      <c r="AB68" s="10">
        <v>9.4731927390217061E-2</v>
      </c>
      <c r="AC68" s="10">
        <v>4.9856017370923733E-3</v>
      </c>
      <c r="AD68" s="10">
        <v>2.6238487240433134E-4</v>
      </c>
      <c r="AE68" s="10">
        <v>1.3808929171865313E-5</v>
      </c>
      <c r="AF68" s="10">
        <v>7.2674359282324627E-7</v>
      </c>
      <c r="AG68" s="10">
        <v>3.8247444326510152E-8</v>
      </c>
      <c r="AH68" s="10">
        <v>2.0129066316588527E-9</v>
      </c>
      <c r="AI68" s="10">
        <v>1.0593630970966079E-10</v>
      </c>
      <c r="AJ68" s="10">
        <v>5.5752718672562673E-12</v>
      </c>
      <c r="AK68" s="10">
        <v>2.9341834238902604E-13</v>
      </c>
      <c r="AL68" s="10">
        <v>1.5442174964766157E-14</v>
      </c>
      <c r="AM68" s="10">
        <v>8.1269891202756863E-16</v>
      </c>
      <c r="AN68" s="10">
        <v>4.277114520210103E-17</v>
      </c>
      <c r="AO68" s="10">
        <v>2.2509651216389565E-18</v>
      </c>
      <c r="AP68" s="7">
        <v>1.1813776375949765E-19</v>
      </c>
    </row>
    <row r="69" spans="1:42" x14ac:dyDescent="0.35">
      <c r="A69" s="39">
        <v>6.3926940639269422E-5</v>
      </c>
      <c r="B69" s="48">
        <f t="shared" si="2"/>
        <v>0</v>
      </c>
      <c r="C69" s="42">
        <f t="shared" si="1"/>
        <v>6.820944453751125E-5</v>
      </c>
      <c r="D69" s="42">
        <f t="shared" si="1"/>
        <v>3.3849667277682772E-4</v>
      </c>
      <c r="E69" s="42">
        <f t="shared" si="1"/>
        <v>1.4724638297073257E-3</v>
      </c>
      <c r="F69" s="42">
        <f t="shared" si="1"/>
        <v>5.7333105296926961E-3</v>
      </c>
      <c r="G69" s="42">
        <f t="shared" si="1"/>
        <v>1.9780922603533254E-2</v>
      </c>
      <c r="H69" s="42">
        <f t="shared" si="1"/>
        <v>5.9795647491343355E-2</v>
      </c>
      <c r="I69" s="42">
        <f t="shared" si="1"/>
        <v>0.15675693418529679</v>
      </c>
      <c r="J69" s="42">
        <f t="shared" ref="J69" si="6">J20*$B$5*EXP($E$7*J$37+$E$8*$A20)</f>
        <v>0.35393873066273507</v>
      </c>
      <c r="K69" s="42">
        <f t="shared" si="1"/>
        <v>0.688320791898688</v>
      </c>
      <c r="L69" s="42">
        <f t="shared" si="1"/>
        <v>1.1654668812871363</v>
      </c>
      <c r="M69" s="42">
        <f t="shared" si="1"/>
        <v>1.7569618846506123</v>
      </c>
      <c r="N69" s="42">
        <f t="shared" si="1"/>
        <v>2.4294083293073316</v>
      </c>
      <c r="O69" s="42">
        <f t="shared" si="1"/>
        <v>3.1916961366870682</v>
      </c>
      <c r="P69" s="42">
        <f t="shared" si="1"/>
        <v>4.1915522282583506</v>
      </c>
      <c r="Q69" s="42">
        <f t="shared" si="1"/>
        <v>5.9794753880906013</v>
      </c>
      <c r="R69" s="42">
        <f t="shared" si="1"/>
        <v>10.110431521724921</v>
      </c>
      <c r="S69" s="42">
        <f t="shared" si="1"/>
        <v>20.010440017712032</v>
      </c>
      <c r="T69" s="42">
        <f t="shared" si="1"/>
        <v>41.054970790367385</v>
      </c>
      <c r="U69" s="42">
        <f t="shared" si="1"/>
        <v>77.648085023252193</v>
      </c>
      <c r="V69" s="53">
        <f t="shared" si="1"/>
        <v>127.18011177228669</v>
      </c>
      <c r="X69" s="4">
        <v>1.3770681728349257E-5</v>
      </c>
      <c r="Y69" s="10">
        <v>2.6238285951314178E-4</v>
      </c>
      <c r="Z69" s="10">
        <v>4.9856016314494822E-3</v>
      </c>
      <c r="AA69" s="10">
        <v>9.4731927390217074E-2</v>
      </c>
      <c r="AB69" s="10">
        <v>0.8000110198986351</v>
      </c>
      <c r="AC69" s="10">
        <v>9.4731927395776877E-2</v>
      </c>
      <c r="AD69" s="10">
        <v>4.9856017373849778E-3</v>
      </c>
      <c r="AE69" s="10">
        <v>2.6238487241973075E-4</v>
      </c>
      <c r="AF69" s="10">
        <v>1.3808929172675761E-5</v>
      </c>
      <c r="AG69" s="10">
        <v>7.2674359286589903E-7</v>
      </c>
      <c r="AH69" s="10">
        <v>3.8247444328754889E-8</v>
      </c>
      <c r="AI69" s="10">
        <v>2.0129066317769902E-9</v>
      </c>
      <c r="AJ69" s="10">
        <v>1.0593630971587822E-10</v>
      </c>
      <c r="AK69" s="10">
        <v>5.5752718675834762E-12</v>
      </c>
      <c r="AL69" s="10">
        <v>2.9341834240619913E-13</v>
      </c>
      <c r="AM69" s="10">
        <v>1.5442174964766157E-14</v>
      </c>
      <c r="AN69" s="10">
        <v>8.1269889485450385E-16</v>
      </c>
      <c r="AO69" s="10">
        <v>4.27708179911477E-17</v>
      </c>
      <c r="AP69" s="7">
        <v>2.2447477053574407E-18</v>
      </c>
    </row>
    <row r="70" spans="1:42" x14ac:dyDescent="0.35">
      <c r="A70" s="39">
        <v>5.9931506849315081E-5</v>
      </c>
      <c r="B70" s="48">
        <f t="shared" si="2"/>
        <v>0</v>
      </c>
      <c r="C70" s="42">
        <f t="shared" si="1"/>
        <v>4.7757626738997584E-5</v>
      </c>
      <c r="D70" s="42">
        <f t="shared" si="1"/>
        <v>2.4905554010820548E-4</v>
      </c>
      <c r="E70" s="42">
        <f t="shared" si="1"/>
        <v>1.1410470305267804E-3</v>
      </c>
      <c r="F70" s="42">
        <f t="shared" si="1"/>
        <v>4.6723590284136595E-3</v>
      </c>
      <c r="G70" s="42">
        <f t="shared" si="1"/>
        <v>1.6906952029288991E-2</v>
      </c>
      <c r="H70" s="42">
        <f t="shared" si="1"/>
        <v>5.3383938112846196E-2</v>
      </c>
      <c r="I70" s="42">
        <f t="shared" si="1"/>
        <v>0.1453526176278078</v>
      </c>
      <c r="J70" s="42">
        <f t="shared" ref="J70" si="7">J21*$B$5*EXP($E$7*J$37+$E$8*$A21)</f>
        <v>0.33834391808015468</v>
      </c>
      <c r="K70" s="42">
        <f t="shared" si="1"/>
        <v>0.67244804444592998</v>
      </c>
      <c r="L70" s="42">
        <f t="shared" si="1"/>
        <v>1.15349406416051</v>
      </c>
      <c r="M70" s="42">
        <f t="shared" si="1"/>
        <v>1.7494842028402</v>
      </c>
      <c r="N70" s="42">
        <f t="shared" si="1"/>
        <v>2.4217142062876751</v>
      </c>
      <c r="O70" s="42">
        <f t="shared" si="1"/>
        <v>3.1687880400502677</v>
      </c>
      <c r="P70" s="42">
        <f t="shared" si="1"/>
        <v>4.1094222516529388</v>
      </c>
      <c r="Q70" s="42">
        <f t="shared" si="1"/>
        <v>5.7251812933269592</v>
      </c>
      <c r="R70" s="42">
        <f t="shared" si="1"/>
        <v>9.4662946753577533</v>
      </c>
      <c r="S70" s="42">
        <f t="shared" si="1"/>
        <v>18.738903980406693</v>
      </c>
      <c r="T70" s="42">
        <f t="shared" si="1"/>
        <v>39.260275753064121</v>
      </c>
      <c r="U70" s="42">
        <f t="shared" si="1"/>
        <v>76.183335707259943</v>
      </c>
      <c r="V70" s="53">
        <f t="shared" si="1"/>
        <v>127.18214434739265</v>
      </c>
      <c r="X70" s="4">
        <v>7.2473068623424056E-7</v>
      </c>
      <c r="Y70" s="10">
        <v>1.38088232363683E-5</v>
      </c>
      <c r="Z70" s="10">
        <v>2.6238486684450172E-4</v>
      </c>
      <c r="AA70" s="10">
        <v>4.9856017370923733E-3</v>
      </c>
      <c r="AB70" s="10">
        <v>9.4731927395776877E-2</v>
      </c>
      <c r="AC70" s="10">
        <v>0.80001101989892776</v>
      </c>
      <c r="AD70" s="10">
        <v>9.4731927395792268E-2</v>
      </c>
      <c r="AE70" s="10">
        <v>4.9856017373857879E-3</v>
      </c>
      <c r="AF70" s="10">
        <v>2.6238487241977331E-4</v>
      </c>
      <c r="AG70" s="10">
        <v>1.3808929172678004E-5</v>
      </c>
      <c r="AH70" s="10">
        <v>7.2674359286601709E-7</v>
      </c>
      <c r="AI70" s="10">
        <v>3.8247444328761109E-8</v>
      </c>
      <c r="AJ70" s="10">
        <v>2.012906631777317E-9</v>
      </c>
      <c r="AK70" s="10">
        <v>1.0593630971589537E-10</v>
      </c>
      <c r="AL70" s="10">
        <v>5.5752718675834762E-12</v>
      </c>
      <c r="AM70" s="10">
        <v>2.9341834238902599E-13</v>
      </c>
      <c r="AN70" s="10">
        <v>1.5442174637555202E-14</v>
      </c>
      <c r="AO70" s="10">
        <v>8.1269267743822224E-16</v>
      </c>
      <c r="AP70" s="7">
        <v>4.2652680227388168E-17</v>
      </c>
    </row>
    <row r="71" spans="1:42" x14ac:dyDescent="0.35">
      <c r="A71" s="39">
        <v>5.5936073059360741E-5</v>
      </c>
      <c r="B71" s="48">
        <f t="shared" si="2"/>
        <v>0</v>
      </c>
      <c r="C71" s="42">
        <f t="shared" si="1"/>
        <v>3.239361713145286E-5</v>
      </c>
      <c r="D71" s="42">
        <f t="shared" si="1"/>
        <v>1.782329034530167E-4</v>
      </c>
      <c r="E71" s="42">
        <f t="shared" si="1"/>
        <v>8.6356401157949229E-4</v>
      </c>
      <c r="F71" s="42">
        <f t="shared" si="1"/>
        <v>3.7345841635368438E-3</v>
      </c>
      <c r="G71" s="42">
        <f t="shared" si="1"/>
        <v>1.4234183638189688E-2</v>
      </c>
      <c r="H71" s="42">
        <f t="shared" si="1"/>
        <v>4.7145354864825954E-2</v>
      </c>
      <c r="I71" s="42">
        <f t="shared" si="1"/>
        <v>0.13384773525305158</v>
      </c>
      <c r="J71" s="42">
        <f t="shared" si="1"/>
        <v>0.32226265929748843</v>
      </c>
      <c r="K71" s="42">
        <f t="shared" si="1"/>
        <v>0.6560628003548532</v>
      </c>
      <c r="L71" s="42">
        <f t="shared" si="1"/>
        <v>1.1414547212353778</v>
      </c>
      <c r="M71" s="42">
        <f t="shared" si="1"/>
        <v>1.7425373473068142</v>
      </c>
      <c r="N71" s="42">
        <f t="shared" si="1"/>
        <v>2.4156385368576352</v>
      </c>
      <c r="O71" s="42">
        <f t="shared" si="1"/>
        <v>3.1506713414618854</v>
      </c>
      <c r="P71" s="42">
        <f t="shared" si="1"/>
        <v>4.0399565765147623</v>
      </c>
      <c r="Q71" s="42">
        <f t="shared" si="1"/>
        <v>5.4961822392986575</v>
      </c>
      <c r="R71" s="42">
        <f t="shared" si="1"/>
        <v>8.8511487383909291</v>
      </c>
      <c r="S71" s="42">
        <f t="shared" si="1"/>
        <v>17.456584882110235</v>
      </c>
      <c r="T71" s="42">
        <f t="shared" si="1"/>
        <v>37.361925073173893</v>
      </c>
      <c r="U71" s="42">
        <f t="shared" si="1"/>
        <v>74.577284079934131</v>
      </c>
      <c r="V71" s="53">
        <f t="shared" si="1"/>
        <v>127.18417695498292</v>
      </c>
      <c r="X71" s="4">
        <v>3.8141508019045258E-8</v>
      </c>
      <c r="Y71" s="10">
        <v>7.2673801759415011E-7</v>
      </c>
      <c r="Z71" s="10">
        <v>1.380892887925967E-5</v>
      </c>
      <c r="AA71" s="10">
        <v>2.6238487240433134E-4</v>
      </c>
      <c r="AB71" s="10">
        <v>4.985601737384977E-3</v>
      </c>
      <c r="AC71" s="10">
        <v>9.4731927395792268E-2</v>
      </c>
      <c r="AD71" s="10">
        <v>0.80001101989892864</v>
      </c>
      <c r="AE71" s="10">
        <v>9.4731927395792295E-2</v>
      </c>
      <c r="AF71" s="10">
        <v>4.9856017373857897E-3</v>
      </c>
      <c r="AG71" s="10">
        <v>2.6238487241977347E-4</v>
      </c>
      <c r="AH71" s="10">
        <v>1.3808929172678009E-5</v>
      </c>
      <c r="AI71" s="10">
        <v>7.2674359286601741E-7</v>
      </c>
      <c r="AJ71" s="10">
        <v>3.8247444328761122E-8</v>
      </c>
      <c r="AK71" s="10">
        <v>2.012906631777317E-9</v>
      </c>
      <c r="AL71" s="10">
        <v>1.0593630971587819E-10</v>
      </c>
      <c r="AM71" s="10">
        <v>5.5752718672562649E-12</v>
      </c>
      <c r="AN71" s="10">
        <v>2.9341833617160976E-13</v>
      </c>
      <c r="AO71" s="10">
        <v>1.5442056499791441E-14</v>
      </c>
      <c r="AP71" s="7">
        <v>8.1044792973286415E-16</v>
      </c>
    </row>
    <row r="72" spans="1:42" x14ac:dyDescent="0.35">
      <c r="A72" s="39">
        <v>5.1940639269406407E-5</v>
      </c>
      <c r="B72" s="48">
        <f t="shared" si="2"/>
        <v>0</v>
      </c>
      <c r="C72" s="42">
        <f t="shared" si="1"/>
        <v>2.1187895696770631E-5</v>
      </c>
      <c r="D72" s="42">
        <f t="shared" si="1"/>
        <v>1.2354060368981794E-4</v>
      </c>
      <c r="E72" s="42">
        <f t="shared" si="1"/>
        <v>6.3593304344231982E-4</v>
      </c>
      <c r="F72" s="42">
        <f t="shared" si="1"/>
        <v>2.9185159647709381E-3</v>
      </c>
      <c r="G72" s="42">
        <f t="shared" si="1"/>
        <v>1.1774898223529959E-2</v>
      </c>
      <c r="H72" s="42">
        <f t="shared" si="1"/>
        <v>4.1110265374887538E-2</v>
      </c>
      <c r="I72" s="42">
        <f t="shared" si="1"/>
        <v>0.12225712444738886</v>
      </c>
      <c r="J72" s="42">
        <f t="shared" si="1"/>
        <v>0.30564933040264308</v>
      </c>
      <c r="K72" s="42">
        <f t="shared" si="1"/>
        <v>0.63910681508009826</v>
      </c>
      <c r="L72" s="42">
        <f t="shared" si="1"/>
        <v>1.129337329196511</v>
      </c>
      <c r="M72" s="42">
        <f t="shared" si="1"/>
        <v>1.7360747437698139</v>
      </c>
      <c r="N72" s="42">
        <f t="shared" si="1"/>
        <v>2.4109501636428123</v>
      </c>
      <c r="O72" s="42">
        <f t="shared" si="1"/>
        <v>3.1367951759390844</v>
      </c>
      <c r="P72" s="42">
        <f t="shared" si="1"/>
        <v>3.9825319879298178</v>
      </c>
      <c r="Q72" s="42">
        <f t="shared" si="1"/>
        <v>5.2933910305826073</v>
      </c>
      <c r="R72" s="42">
        <f t="shared" si="1"/>
        <v>8.270197579798559</v>
      </c>
      <c r="S72" s="42">
        <f t="shared" si="1"/>
        <v>16.170408024000693</v>
      </c>
      <c r="T72" s="42">
        <f t="shared" si="1"/>
        <v>35.353434651001869</v>
      </c>
      <c r="U72" s="42">
        <f t="shared" si="1"/>
        <v>72.806749494000044</v>
      </c>
      <c r="V72" s="53">
        <f t="shared" si="1"/>
        <v>127.18620959505805</v>
      </c>
      <c r="X72" s="4">
        <v>2.0073313599097349E-9</v>
      </c>
      <c r="Y72" s="10">
        <v>3.8247150910418739E-8</v>
      </c>
      <c r="Z72" s="10">
        <v>7.2674357742384265E-7</v>
      </c>
      <c r="AA72" s="10">
        <v>1.3808929171865311E-5</v>
      </c>
      <c r="AB72" s="10">
        <v>2.623848724197307E-4</v>
      </c>
      <c r="AC72" s="10">
        <v>4.9856017373857871E-3</v>
      </c>
      <c r="AD72" s="10">
        <v>9.4731927395792309E-2</v>
      </c>
      <c r="AE72" s="10">
        <v>0.80001101989892864</v>
      </c>
      <c r="AF72" s="10">
        <v>9.4731927395792295E-2</v>
      </c>
      <c r="AG72" s="10">
        <v>4.9856017373857897E-3</v>
      </c>
      <c r="AH72" s="10">
        <v>2.6238487241977347E-4</v>
      </c>
      <c r="AI72" s="10">
        <v>1.3808929172678009E-5</v>
      </c>
      <c r="AJ72" s="10">
        <v>7.2674359286601741E-7</v>
      </c>
      <c r="AK72" s="10">
        <v>3.8247444328761109E-8</v>
      </c>
      <c r="AL72" s="10">
        <v>2.0129066317769902E-9</v>
      </c>
      <c r="AM72" s="10">
        <v>1.0593630970966077E-10</v>
      </c>
      <c r="AN72" s="10">
        <v>5.5752717491185019E-12</v>
      </c>
      <c r="AO72" s="10">
        <v>2.934160914239044E-13</v>
      </c>
      <c r="AP72" s="7">
        <v>1.5399403819564046E-14</v>
      </c>
    </row>
    <row r="73" spans="1:42" x14ac:dyDescent="0.35">
      <c r="A73" s="39">
        <v>4.7945205479452066E-5</v>
      </c>
      <c r="B73" s="48">
        <f t="shared" si="2"/>
        <v>0</v>
      </c>
      <c r="C73" s="42">
        <f t="shared" si="1"/>
        <v>1.3289010681942199E-5</v>
      </c>
      <c r="D73" s="42">
        <f t="shared" si="1"/>
        <v>8.2515735602728258E-5</v>
      </c>
      <c r="E73" s="42">
        <f t="shared" si="1"/>
        <v>4.5360390943639941E-4</v>
      </c>
      <c r="F73" s="42">
        <f t="shared" si="1"/>
        <v>2.2213075913223575E-3</v>
      </c>
      <c r="G73" s="42">
        <f t="shared" si="1"/>
        <v>9.5406716063264618E-3</v>
      </c>
      <c r="H73" s="42">
        <f t="shared" si="1"/>
        <v>3.5313162005940951E-2</v>
      </c>
      <c r="I73" s="42">
        <f t="shared" si="1"/>
        <v>0.11060161389143035</v>
      </c>
      <c r="J73" s="42">
        <f t="shared" si="1"/>
        <v>0.28845196527035344</v>
      </c>
      <c r="K73" s="42">
        <f t="shared" si="1"/>
        <v>0.62151376439349026</v>
      </c>
      <c r="L73" s="42">
        <f t="shared" si="1"/>
        <v>1.1171406291221511</v>
      </c>
      <c r="M73" s="42">
        <f t="shared" si="1"/>
        <v>1.7300675092724795</v>
      </c>
      <c r="N73" s="42">
        <f t="shared" si="1"/>
        <v>2.4074353829079396</v>
      </c>
      <c r="O73" s="42">
        <f t="shared" si="1"/>
        <v>3.1265862570249938</v>
      </c>
      <c r="P73" s="42">
        <f t="shared" si="1"/>
        <v>3.9363390324674499</v>
      </c>
      <c r="Q73" s="42">
        <f t="shared" si="1"/>
        <v>5.1173596950913387</v>
      </c>
      <c r="R73" s="42">
        <f t="shared" si="1"/>
        <v>7.7288929990410606</v>
      </c>
      <c r="S73" s="42">
        <f t="shared" si="1"/>
        <v>14.889234306184489</v>
      </c>
      <c r="T73" s="42">
        <f t="shared" si="1"/>
        <v>33.228930249139609</v>
      </c>
      <c r="U73" s="42">
        <f t="shared" si="1"/>
        <v>70.843221870263008</v>
      </c>
      <c r="V73" s="53">
        <f t="shared" si="1"/>
        <v>127.18824226761853</v>
      </c>
      <c r="X73" s="4">
        <v>1.0564289137348922E-10</v>
      </c>
      <c r="Y73" s="10">
        <v>2.012891189602353E-9</v>
      </c>
      <c r="Z73" s="10">
        <v>3.8247443516062219E-8</v>
      </c>
      <c r="AA73" s="10">
        <v>7.2674359282324627E-7</v>
      </c>
      <c r="AB73" s="10">
        <v>1.3808929172675756E-5</v>
      </c>
      <c r="AC73" s="10">
        <v>2.6238487241977331E-4</v>
      </c>
      <c r="AD73" s="10">
        <v>4.9856017373857897E-3</v>
      </c>
      <c r="AE73" s="10">
        <v>9.4731927395792309E-2</v>
      </c>
      <c r="AF73" s="10">
        <v>0.80001101989892864</v>
      </c>
      <c r="AG73" s="10">
        <v>9.4731927395792295E-2</v>
      </c>
      <c r="AH73" s="10">
        <v>4.9856017373857897E-3</v>
      </c>
      <c r="AI73" s="10">
        <v>2.6238487241977347E-4</v>
      </c>
      <c r="AJ73" s="10">
        <v>1.3808929172678009E-5</v>
      </c>
      <c r="AK73" s="10">
        <v>7.2674359286601698E-7</v>
      </c>
      <c r="AL73" s="10">
        <v>3.8247444328754895E-8</v>
      </c>
      <c r="AM73" s="10">
        <v>2.0129066316588523E-9</v>
      </c>
      <c r="AN73" s="10">
        <v>1.0593630746491309E-10</v>
      </c>
      <c r="AO73" s="10">
        <v>5.5752290964382755E-12</v>
      </c>
      <c r="AP73" s="7">
        <v>2.9260564349417144E-13</v>
      </c>
    </row>
    <row r="74" spans="1:42" x14ac:dyDescent="0.35">
      <c r="A74" s="39">
        <v>4.3949771689497726E-5</v>
      </c>
      <c r="B74" s="48">
        <f t="shared" si="2"/>
        <v>0</v>
      </c>
      <c r="C74" s="42">
        <f t="shared" si="1"/>
        <v>7.9375421704843623E-6</v>
      </c>
      <c r="D74" s="42">
        <f t="shared" si="1"/>
        <v>5.2773437351280813E-5</v>
      </c>
      <c r="E74" s="42">
        <f t="shared" si="1"/>
        <v>3.1161897156389368E-4</v>
      </c>
      <c r="F74" s="42">
        <f t="shared" si="1"/>
        <v>1.6385571647921685E-3</v>
      </c>
      <c r="G74" s="42">
        <f t="shared" si="1"/>
        <v>7.5418220940912063E-3</v>
      </c>
      <c r="H74" s="42">
        <f t="shared" si="1"/>
        <v>2.9792975699926897E-2</v>
      </c>
      <c r="I74" s="42">
        <f t="shared" si="1"/>
        <v>9.8909963976559559E-2</v>
      </c>
      <c r="J74" s="42">
        <f t="shared" si="1"/>
        <v>0.27061086981992027</v>
      </c>
      <c r="K74" s="42">
        <f t="shared" si="1"/>
        <v>0.60320658825382056</v>
      </c>
      <c r="L74" s="42">
        <f t="shared" si="1"/>
        <v>1.104875252995297</v>
      </c>
      <c r="M74" s="42">
        <f t="shared" si="1"/>
        <v>1.7245051003605156</v>
      </c>
      <c r="N74" s="42">
        <f t="shared" si="1"/>
        <v>2.4049020890308088</v>
      </c>
      <c r="O74" s="42">
        <f t="shared" si="1"/>
        <v>3.1194643565433013</v>
      </c>
      <c r="P74" s="42">
        <f t="shared" si="1"/>
        <v>3.9003880124349535</v>
      </c>
      <c r="Q74" s="42">
        <f t="shared" si="1"/>
        <v>4.9681860333496939</v>
      </c>
      <c r="R74" s="42">
        <f t="shared" si="1"/>
        <v>7.2327771136635457</v>
      </c>
      <c r="S74" s="42">
        <f t="shared" si="1"/>
        <v>13.624227231355867</v>
      </c>
      <c r="T74" s="42">
        <f t="shared" si="1"/>
        <v>30.983825918322378</v>
      </c>
      <c r="U74" s="42">
        <f t="shared" si="1"/>
        <v>68.651317880471737</v>
      </c>
      <c r="V74" s="53">
        <f t="shared" si="1"/>
        <v>127.19027497266494</v>
      </c>
      <c r="X74" s="4">
        <v>5.5598296926187119E-12</v>
      </c>
      <c r="Y74" s="10">
        <v>1.0593549701698337E-10</v>
      </c>
      <c r="Z74" s="10">
        <v>2.012906589006172E-9</v>
      </c>
      <c r="AA74" s="10">
        <v>3.8247444326510139E-8</v>
      </c>
      <c r="AB74" s="10">
        <v>7.2674359286589861E-7</v>
      </c>
      <c r="AC74" s="10">
        <v>1.3808929172677999E-5</v>
      </c>
      <c r="AD74" s="10">
        <v>2.6238487241977341E-4</v>
      </c>
      <c r="AE74" s="10">
        <v>4.9856017373857897E-3</v>
      </c>
      <c r="AF74" s="10">
        <v>9.4731927395792309E-2</v>
      </c>
      <c r="AG74" s="10">
        <v>0.80001101989892864</v>
      </c>
      <c r="AH74" s="10">
        <v>9.4731927395792295E-2</v>
      </c>
      <c r="AI74" s="10">
        <v>4.9856017373857897E-3</v>
      </c>
      <c r="AJ74" s="10">
        <v>2.6238487241977347E-4</v>
      </c>
      <c r="AK74" s="10">
        <v>1.3808929172678004E-5</v>
      </c>
      <c r="AL74" s="10">
        <v>7.2674359286589893E-7</v>
      </c>
      <c r="AM74" s="10">
        <v>3.8247444326510145E-8</v>
      </c>
      <c r="AN74" s="10">
        <v>2.0129065890061724E-9</v>
      </c>
      <c r="AO74" s="10">
        <v>1.0593549701698337E-10</v>
      </c>
      <c r="AP74" s="7">
        <v>5.5598296926187087E-12</v>
      </c>
    </row>
    <row r="75" spans="1:42" x14ac:dyDescent="0.35">
      <c r="A75" s="39">
        <v>3.9954337899543392E-5</v>
      </c>
      <c r="B75" s="48">
        <f t="shared" si="2"/>
        <v>0</v>
      </c>
      <c r="C75" s="42">
        <f t="shared" si="1"/>
        <v>4.476690374379928E-6</v>
      </c>
      <c r="D75" s="42">
        <f t="shared" si="1"/>
        <v>3.2062022621382319E-5</v>
      </c>
      <c r="E75" s="42">
        <f t="shared" si="1"/>
        <v>2.0470494868854975E-4</v>
      </c>
      <c r="F75" s="42">
        <f t="shared" si="1"/>
        <v>1.164154860645537E-3</v>
      </c>
      <c r="G75" s="42">
        <f t="shared" si="1"/>
        <v>5.7867007715387822E-3</v>
      </c>
      <c r="H75" s="42">
        <f t="shared" si="1"/>
        <v>2.4593258445205896E-2</v>
      </c>
      <c r="I75" s="42">
        <f t="shared" si="1"/>
        <v>8.7221489591046614E-2</v>
      </c>
      <c r="J75" s="42">
        <f t="shared" si="1"/>
        <v>0.25205696047025478</v>
      </c>
      <c r="K75" s="42">
        <f t="shared" si="1"/>
        <v>0.58409406797816488</v>
      </c>
      <c r="L75" s="42">
        <f t="shared" si="1"/>
        <v>1.0925661433559191</v>
      </c>
      <c r="M75" s="42">
        <f t="shared" ref="C75:V84" si="8">M26*$B$5*EXP($E$7*M$37+$E$8*$A26)</f>
        <v>1.7193953906400228</v>
      </c>
      <c r="N75" s="42">
        <f t="shared" si="8"/>
        <v>2.4031828024093649</v>
      </c>
      <c r="O75" s="42">
        <f t="shared" si="8"/>
        <v>3.114859861654153</v>
      </c>
      <c r="P75" s="42">
        <f t="shared" si="8"/>
        <v>3.8735266633265302</v>
      </c>
      <c r="Q75" s="42">
        <f t="shared" si="8"/>
        <v>4.8454195736284253</v>
      </c>
      <c r="R75" s="42">
        <f t="shared" si="8"/>
        <v>6.7872465648442635</v>
      </c>
      <c r="S75" s="42">
        <f t="shared" si="8"/>
        <v>12.389230658353384</v>
      </c>
      <c r="T75" s="42">
        <f t="shared" si="8"/>
        <v>28.615869928402851</v>
      </c>
      <c r="U75" s="42">
        <f t="shared" si="8"/>
        <v>66.186710983245803</v>
      </c>
      <c r="V75" s="53">
        <f t="shared" si="8"/>
        <v>127.19230771019775</v>
      </c>
      <c r="X75" s="4">
        <v>2.9260564349417159E-13</v>
      </c>
      <c r="Y75" s="10">
        <v>5.5752290964382739E-12</v>
      </c>
      <c r="Z75" s="10">
        <v>1.0593630746491308E-10</v>
      </c>
      <c r="AA75" s="10">
        <v>2.0129066316588519E-9</v>
      </c>
      <c r="AB75" s="10">
        <v>3.8247444328754882E-8</v>
      </c>
      <c r="AC75" s="10">
        <v>7.2674359286601677E-7</v>
      </c>
      <c r="AD75" s="10">
        <v>1.3808929172678005E-5</v>
      </c>
      <c r="AE75" s="10">
        <v>2.6238487241977341E-4</v>
      </c>
      <c r="AF75" s="10">
        <v>4.9856017373857897E-3</v>
      </c>
      <c r="AG75" s="10">
        <v>9.4731927395792309E-2</v>
      </c>
      <c r="AH75" s="10">
        <v>0.80001101989892864</v>
      </c>
      <c r="AI75" s="10">
        <v>9.4731927395792295E-2</v>
      </c>
      <c r="AJ75" s="10">
        <v>4.9856017373857897E-3</v>
      </c>
      <c r="AK75" s="10">
        <v>2.6238487241977336E-4</v>
      </c>
      <c r="AL75" s="10">
        <v>1.3808929172675759E-5</v>
      </c>
      <c r="AM75" s="10">
        <v>7.2674359282324627E-7</v>
      </c>
      <c r="AN75" s="10">
        <v>3.8247443516062225E-8</v>
      </c>
      <c r="AO75" s="10">
        <v>2.0128911896023534E-9</v>
      </c>
      <c r="AP75" s="7">
        <v>1.0564289137348915E-10</v>
      </c>
    </row>
    <row r="76" spans="1:42" x14ac:dyDescent="0.35">
      <c r="A76" s="39">
        <v>3.5958904109589051E-5</v>
      </c>
      <c r="B76" s="48">
        <f t="shared" si="2"/>
        <v>0</v>
      </c>
      <c r="C76" s="42">
        <f t="shared" si="8"/>
        <v>2.358487288676222E-6</v>
      </c>
      <c r="D76" s="42">
        <f t="shared" si="8"/>
        <v>1.8317360272785479E-5</v>
      </c>
      <c r="E76" s="42">
        <f t="shared" si="8"/>
        <v>1.2739853980355822E-4</v>
      </c>
      <c r="F76" s="42">
        <f t="shared" si="8"/>
        <v>7.9017970136887553E-4</v>
      </c>
      <c r="G76" s="42">
        <f t="shared" si="8"/>
        <v>4.2808028292588831E-3</v>
      </c>
      <c r="H76" s="42">
        <f t="shared" si="8"/>
        <v>1.976211620959922E-2</v>
      </c>
      <c r="I76" s="42">
        <f t="shared" si="8"/>
        <v>7.5589612474545875E-2</v>
      </c>
      <c r="J76" s="42">
        <f t="shared" si="8"/>
        <v>0.23270976514588426</v>
      </c>
      <c r="K76" s="42">
        <f t="shared" si="8"/>
        <v>0.56406634273113787</v>
      </c>
      <c r="L76" s="42">
        <f t="shared" si="8"/>
        <v>1.0802561819555174</v>
      </c>
      <c r="M76" s="42">
        <f t="shared" si="8"/>
        <v>1.7147640658773533</v>
      </c>
      <c r="N76" s="42">
        <f t="shared" si="8"/>
        <v>2.4021361583424241</v>
      </c>
      <c r="O76" s="42">
        <f t="shared" si="8"/>
        <v>3.1122324523841947</v>
      </c>
      <c r="P76" s="42">
        <f t="shared" si="8"/>
        <v>3.8544718467116423</v>
      </c>
      <c r="Q76" s="42">
        <f t="shared" si="8"/>
        <v>4.7479766126516676</v>
      </c>
      <c r="R76" s="42">
        <f t="shared" si="8"/>
        <v>6.3972187690666615</v>
      </c>
      <c r="S76" s="42">
        <f t="shared" si="8"/>
        <v>11.201111817872851</v>
      </c>
      <c r="T76" s="42">
        <f t="shared" si="8"/>
        <v>26.126739794382519</v>
      </c>
      <c r="U76" s="42">
        <f t="shared" si="8"/>
        <v>63.393333890676651</v>
      </c>
      <c r="V76" s="53">
        <f t="shared" si="8"/>
        <v>127.19434048021748</v>
      </c>
      <c r="X76" s="4">
        <v>1.5399403819564053E-14</v>
      </c>
      <c r="Y76" s="10">
        <v>2.9341609142390434E-13</v>
      </c>
      <c r="Z76" s="10">
        <v>5.5752717491184994E-12</v>
      </c>
      <c r="AA76" s="10">
        <v>1.0593630970966074E-10</v>
      </c>
      <c r="AB76" s="10">
        <v>2.0129066317769894E-9</v>
      </c>
      <c r="AC76" s="10">
        <v>3.8247444328761089E-8</v>
      </c>
      <c r="AD76" s="10">
        <v>7.2674359286601709E-7</v>
      </c>
      <c r="AE76" s="10">
        <v>1.3808929172678005E-5</v>
      </c>
      <c r="AF76" s="10">
        <v>2.6238487241977341E-4</v>
      </c>
      <c r="AG76" s="10">
        <v>4.9856017373857897E-3</v>
      </c>
      <c r="AH76" s="10">
        <v>9.4731927395792309E-2</v>
      </c>
      <c r="AI76" s="10">
        <v>0.80001101989892864</v>
      </c>
      <c r="AJ76" s="10">
        <v>9.4731927395792295E-2</v>
      </c>
      <c r="AK76" s="10">
        <v>4.9856017373857879E-3</v>
      </c>
      <c r="AL76" s="10">
        <v>2.6238487241973075E-4</v>
      </c>
      <c r="AM76" s="10">
        <v>1.3808929171865311E-5</v>
      </c>
      <c r="AN76" s="10">
        <v>7.2674357742384254E-7</v>
      </c>
      <c r="AO76" s="10">
        <v>3.8247150910418732E-8</v>
      </c>
      <c r="AP76" s="7">
        <v>2.0073313599097337E-9</v>
      </c>
    </row>
    <row r="77" spans="1:42" x14ac:dyDescent="0.35">
      <c r="A77" s="39">
        <v>3.1963470319634711E-5</v>
      </c>
      <c r="B77" s="48">
        <f t="shared" si="2"/>
        <v>0</v>
      </c>
      <c r="C77" s="42">
        <f t="shared" si="8"/>
        <v>1.1448332101081835E-6</v>
      </c>
      <c r="D77" s="42">
        <f t="shared" si="8"/>
        <v>9.7124542346525038E-6</v>
      </c>
      <c r="E77" s="42">
        <f t="shared" si="8"/>
        <v>7.4206574968993275E-5</v>
      </c>
      <c r="F77" s="42">
        <f t="shared" si="8"/>
        <v>5.0687891733491831E-4</v>
      </c>
      <c r="G77" s="42">
        <f t="shared" si="8"/>
        <v>3.0256884640734263E-3</v>
      </c>
      <c r="H77" s="42">
        <f t="shared" si="8"/>
        <v>1.5351706332398771E-2</v>
      </c>
      <c r="I77" s="42">
        <f t="shared" si="8"/>
        <v>6.4086685125053638E-2</v>
      </c>
      <c r="J77" s="42">
        <f t="shared" si="8"/>
        <v>0.21247501670791463</v>
      </c>
      <c r="K77" s="42">
        <f t="shared" si="8"/>
        <v>0.54298893586075581</v>
      </c>
      <c r="L77" s="42">
        <f t="shared" si="8"/>
        <v>1.068011620119665</v>
      </c>
      <c r="M77" s="42">
        <f t="shared" si="8"/>
        <v>1.7106531787446388</v>
      </c>
      <c r="N77" s="42">
        <f t="shared" si="8"/>
        <v>2.4016464958014887</v>
      </c>
      <c r="O77" s="42">
        <f t="shared" si="8"/>
        <v>3.1110894879394548</v>
      </c>
      <c r="P77" s="42">
        <f t="shared" si="8"/>
        <v>3.8418567835182382</v>
      </c>
      <c r="Q77" s="42">
        <f t="shared" si="8"/>
        <v>4.6740788212935778</v>
      </c>
      <c r="R77" s="42">
        <f t="shared" si="8"/>
        <v>6.0666821152421413</v>
      </c>
      <c r="S77" s="42">
        <f t="shared" si="8"/>
        <v>10.079984872909113</v>
      </c>
      <c r="T77" s="42">
        <f t="shared" si="8"/>
        <v>23.524456953949134</v>
      </c>
      <c r="U77" s="42">
        <f t="shared" si="8"/>
        <v>60.199568128769918</v>
      </c>
      <c r="V77" s="53">
        <f t="shared" si="8"/>
        <v>127.19637328272469</v>
      </c>
      <c r="X77" s="4">
        <v>8.1044792973286464E-16</v>
      </c>
      <c r="Y77" s="10">
        <v>1.5442056499791441E-14</v>
      </c>
      <c r="Z77" s="10">
        <v>2.9341833617160966E-13</v>
      </c>
      <c r="AA77" s="10">
        <v>5.5752718672562625E-12</v>
      </c>
      <c r="AB77" s="10">
        <v>1.0593630971587812E-10</v>
      </c>
      <c r="AC77" s="10">
        <v>2.0129066317773162E-9</v>
      </c>
      <c r="AD77" s="10">
        <v>3.8247444328761116E-8</v>
      </c>
      <c r="AE77" s="10">
        <v>7.2674359286601719E-7</v>
      </c>
      <c r="AF77" s="10">
        <v>1.3808929172678005E-5</v>
      </c>
      <c r="AG77" s="10">
        <v>2.6238487241977341E-4</v>
      </c>
      <c r="AH77" s="10">
        <v>4.9856017373857897E-3</v>
      </c>
      <c r="AI77" s="10">
        <v>9.4731927395792309E-2</v>
      </c>
      <c r="AJ77" s="10">
        <v>0.80001101989892864</v>
      </c>
      <c r="AK77" s="10">
        <v>9.4731927395792268E-2</v>
      </c>
      <c r="AL77" s="10">
        <v>4.9856017373849778E-3</v>
      </c>
      <c r="AM77" s="10">
        <v>2.6238487240433128E-4</v>
      </c>
      <c r="AN77" s="10">
        <v>1.3808928879259668E-5</v>
      </c>
      <c r="AO77" s="10">
        <v>7.2673801759415E-7</v>
      </c>
      <c r="AP77" s="7">
        <v>3.8141508019045232E-8</v>
      </c>
    </row>
    <row r="78" spans="1:42" x14ac:dyDescent="0.35">
      <c r="A78" s="39">
        <v>2.796803652968037E-5</v>
      </c>
      <c r="B78" s="48">
        <f t="shared" si="2"/>
        <v>0</v>
      </c>
      <c r="C78" s="42">
        <f t="shared" si="8"/>
        <v>5.0293223427400671E-7</v>
      </c>
      <c r="D78" s="42">
        <f t="shared" si="8"/>
        <v>4.6973640905143481E-6</v>
      </c>
      <c r="E78" s="42">
        <f t="shared" si="8"/>
        <v>3.9797255886660329E-5</v>
      </c>
      <c r="F78" s="42">
        <f t="shared" si="8"/>
        <v>3.0277164762348291E-4</v>
      </c>
      <c r="G78" s="42">
        <f t="shared" si="8"/>
        <v>2.0177250122796037E-3</v>
      </c>
      <c r="H78" s="42">
        <f t="shared" si="8"/>
        <v>1.1417010332675968E-2</v>
      </c>
      <c r="I78" s="42">
        <f t="shared" si="8"/>
        <v>5.2810560522170438E-2</v>
      </c>
      <c r="J78" s="42">
        <f t="shared" si="8"/>
        <v>0.1912417646565171</v>
      </c>
      <c r="K78" s="42">
        <f t="shared" si="8"/>
        <v>0.52069466253956354</v>
      </c>
      <c r="L78" s="42">
        <f t="shared" si="8"/>
        <v>1.0559301595024386</v>
      </c>
      <c r="M78" s="42">
        <f t="shared" si="8"/>
        <v>1.7071186043383602</v>
      </c>
      <c r="N78" s="42">
        <f t="shared" si="8"/>
        <v>2.4016213305920213</v>
      </c>
      <c r="O78" s="42">
        <f t="shared" si="8"/>
        <v>3.1110022614402144</v>
      </c>
      <c r="P78" s="42">
        <f t="shared" si="8"/>
        <v>3.8342937081712631</v>
      </c>
      <c r="Q78" s="42">
        <f t="shared" si="8"/>
        <v>4.621235482962776</v>
      </c>
      <c r="R78" s="42">
        <f t="shared" si="8"/>
        <v>5.7981202606745503</v>
      </c>
      <c r="S78" s="42">
        <f t="shared" si="8"/>
        <v>9.0491654062902924</v>
      </c>
      <c r="T78" s="42">
        <f t="shared" si="8"/>
        <v>20.827024723255221</v>
      </c>
      <c r="U78" s="42">
        <f t="shared" si="8"/>
        <v>56.513014218086511</v>
      </c>
      <c r="V78" s="53">
        <f t="shared" si="8"/>
        <v>127.19840611771986</v>
      </c>
      <c r="X78" s="4">
        <v>4.2652680227388187E-17</v>
      </c>
      <c r="Y78" s="10">
        <v>8.1269267743822195E-16</v>
      </c>
      <c r="Z78" s="10">
        <v>1.5442174637555195E-14</v>
      </c>
      <c r="AA78" s="10">
        <v>2.9341834238902589E-13</v>
      </c>
      <c r="AB78" s="10">
        <v>5.575271867583473E-12</v>
      </c>
      <c r="AC78" s="10">
        <v>1.0593630971589531E-10</v>
      </c>
      <c r="AD78" s="10">
        <v>2.0129066317773166E-9</v>
      </c>
      <c r="AE78" s="10">
        <v>3.8247444328761089E-8</v>
      </c>
      <c r="AF78" s="10">
        <v>7.2674359286601677E-7</v>
      </c>
      <c r="AG78" s="10">
        <v>1.3808929172677999E-5</v>
      </c>
      <c r="AH78" s="10">
        <v>2.6238487241977331E-4</v>
      </c>
      <c r="AI78" s="10">
        <v>4.9856017373857871E-3</v>
      </c>
      <c r="AJ78" s="10">
        <v>9.4731927395792268E-2</v>
      </c>
      <c r="AK78" s="10">
        <v>0.80001101989892776</v>
      </c>
      <c r="AL78" s="10">
        <v>9.4731927395776863E-2</v>
      </c>
      <c r="AM78" s="10">
        <v>4.9856017370923725E-3</v>
      </c>
      <c r="AN78" s="10">
        <v>2.6238486684450162E-4</v>
      </c>
      <c r="AO78" s="10">
        <v>1.3808823236368297E-5</v>
      </c>
      <c r="AP78" s="7">
        <v>7.2473068623424014E-7</v>
      </c>
    </row>
    <row r="79" spans="1:42" x14ac:dyDescent="0.35">
      <c r="A79" s="39">
        <v>2.3972602739726033E-5</v>
      </c>
      <c r="B79" s="48">
        <f t="shared" si="2"/>
        <v>0</v>
      </c>
      <c r="C79" s="42">
        <f t="shared" si="8"/>
        <v>1.9525286809751232E-7</v>
      </c>
      <c r="D79" s="42">
        <f t="shared" si="8"/>
        <v>2.0241947294687763E-6</v>
      </c>
      <c r="E79" s="42">
        <f t="shared" si="8"/>
        <v>1.9212838644899801E-5</v>
      </c>
      <c r="F79" s="42">
        <f t="shared" si="8"/>
        <v>1.6492623614058338E-4</v>
      </c>
      <c r="G79" s="42">
        <f t="shared" si="8"/>
        <v>1.2467071448467857E-3</v>
      </c>
      <c r="H79" s="42">
        <f t="shared" si="8"/>
        <v>8.0134372717953761E-3</v>
      </c>
      <c r="I79" s="42">
        <f t="shared" si="8"/>
        <v>4.1893566633686249E-2</v>
      </c>
      <c r="J79" s="42">
        <f t="shared" si="8"/>
        <v>0.16887893689989802</v>
      </c>
      <c r="K79" s="42">
        <f t="shared" si="8"/>
        <v>0.49697249653310704</v>
      </c>
      <c r="L79" s="42">
        <f t="shared" si="8"/>
        <v>1.0441529085551378</v>
      </c>
      <c r="M79" s="42">
        <f t="shared" si="8"/>
        <v>1.7042259412458143</v>
      </c>
      <c r="N79" s="42">
        <f t="shared" si="8"/>
        <v>2.4019867481906432</v>
      </c>
      <c r="O79" s="42">
        <f t="shared" si="8"/>
        <v>3.1116180026096387</v>
      </c>
      <c r="P79" s="42">
        <f t="shared" si="8"/>
        <v>3.8304490651876164</v>
      </c>
      <c r="Q79" s="42">
        <f t="shared" si="8"/>
        <v>4.5862948859700836</v>
      </c>
      <c r="R79" s="42">
        <f t="shared" si="8"/>
        <v>5.5918216015321862</v>
      </c>
      <c r="S79" s="42">
        <f t="shared" si="8"/>
        <v>8.1346002803734283</v>
      </c>
      <c r="T79" s="42">
        <f t="shared" si="8"/>
        <v>18.067892559958864</v>
      </c>
      <c r="U79" s="42">
        <f t="shared" si="8"/>
        <v>52.213260327980606</v>
      </c>
      <c r="V79" s="53">
        <f t="shared" si="8"/>
        <v>127.20043898520352</v>
      </c>
      <c r="X79" s="4">
        <v>2.244747705357441E-18</v>
      </c>
      <c r="Y79" s="10">
        <v>4.2770817991147681E-17</v>
      </c>
      <c r="Z79" s="10">
        <v>8.1269889485450316E-16</v>
      </c>
      <c r="AA79" s="10">
        <v>1.5442174964766141E-14</v>
      </c>
      <c r="AB79" s="10">
        <v>2.9341834240619883E-13</v>
      </c>
      <c r="AC79" s="10">
        <v>5.5752718675834722E-12</v>
      </c>
      <c r="AD79" s="10">
        <v>1.0593630971587813E-10</v>
      </c>
      <c r="AE79" s="10">
        <v>2.012906631776989E-9</v>
      </c>
      <c r="AF79" s="10">
        <v>3.8247444328754882E-8</v>
      </c>
      <c r="AG79" s="10">
        <v>7.2674359286589861E-7</v>
      </c>
      <c r="AH79" s="10">
        <v>1.3808929172675756E-5</v>
      </c>
      <c r="AI79" s="10">
        <v>2.623848724197307E-4</v>
      </c>
      <c r="AJ79" s="10">
        <v>4.985601737384977E-3</v>
      </c>
      <c r="AK79" s="10">
        <v>9.4731927395776877E-2</v>
      </c>
      <c r="AL79" s="10">
        <v>0.8000110198986351</v>
      </c>
      <c r="AM79" s="10">
        <v>9.4731927390217033E-2</v>
      </c>
      <c r="AN79" s="10">
        <v>4.9856016314494805E-3</v>
      </c>
      <c r="AO79" s="10">
        <v>2.6238285951314178E-4</v>
      </c>
      <c r="AP79" s="7">
        <v>1.3770681728349247E-5</v>
      </c>
    </row>
    <row r="80" spans="1:42" x14ac:dyDescent="0.35">
      <c r="A80" s="39">
        <v>1.9977168949771696E-5</v>
      </c>
      <c r="B80" s="48">
        <f t="shared" si="2"/>
        <v>0</v>
      </c>
      <c r="C80" s="42">
        <f t="shared" si="8"/>
        <v>6.4842098739561517E-8</v>
      </c>
      <c r="D80" s="42">
        <f t="shared" si="8"/>
        <v>7.522423928991798E-7</v>
      </c>
      <c r="E80" s="42">
        <f t="shared" si="8"/>
        <v>8.0856261225249138E-6</v>
      </c>
      <c r="F80" s="42">
        <f t="shared" si="8"/>
        <v>7.9462476362205167E-5</v>
      </c>
      <c r="G80" s="42">
        <f t="shared" si="8"/>
        <v>6.9449413120883713E-4</v>
      </c>
      <c r="H80" s="42">
        <f t="shared" si="8"/>
        <v>5.1925779572786161E-3</v>
      </c>
      <c r="I80" s="42">
        <f t="shared" si="8"/>
        <v>3.1514802641024443E-2</v>
      </c>
      <c r="J80" s="42">
        <f t="shared" si="8"/>
        <v>0.14523130902973164</v>
      </c>
      <c r="K80" s="42">
        <f t="shared" si="8"/>
        <v>0.47155203851393812</v>
      </c>
      <c r="L80" s="42">
        <f t="shared" si="8"/>
        <v>1.0328820017813771</v>
      </c>
      <c r="M80" s="42">
        <f t="shared" si="8"/>
        <v>1.7020440506131398</v>
      </c>
      <c r="N80" s="42">
        <f t="shared" si="8"/>
        <v>2.4026811209612235</v>
      </c>
      <c r="O80" s="42">
        <f t="shared" si="8"/>
        <v>3.1126655579585174</v>
      </c>
      <c r="P80" s="42">
        <f t="shared" si="8"/>
        <v>3.8291243323303088</v>
      </c>
      <c r="Q80" s="42">
        <f t="shared" si="8"/>
        <v>4.5655934812332992</v>
      </c>
      <c r="R80" s="42">
        <f t="shared" si="8"/>
        <v>5.4451290982475689</v>
      </c>
      <c r="S80" s="42">
        <f t="shared" si="8"/>
        <v>7.3633461070564081</v>
      </c>
      <c r="T80" s="42">
        <f t="shared" si="8"/>
        <v>15.30414901553193</v>
      </c>
      <c r="U80" s="42">
        <f t="shared" si="8"/>
        <v>47.141811380539423</v>
      </c>
      <c r="V80" s="53">
        <f t="shared" si="8"/>
        <v>127.20247188517618</v>
      </c>
      <c r="X80" s="4">
        <v>1.1813776375949767E-19</v>
      </c>
      <c r="Y80" s="10">
        <v>2.2509651216389546E-18</v>
      </c>
      <c r="Z80" s="10">
        <v>4.2771145202100993E-17</v>
      </c>
      <c r="AA80" s="10">
        <v>8.1269891202756794E-16</v>
      </c>
      <c r="AB80" s="10">
        <v>1.5442174964766141E-14</v>
      </c>
      <c r="AC80" s="10">
        <v>2.9341834238902579E-13</v>
      </c>
      <c r="AD80" s="10">
        <v>5.5752718672562609E-12</v>
      </c>
      <c r="AE80" s="10">
        <v>1.0593630970966072E-10</v>
      </c>
      <c r="AF80" s="10">
        <v>2.0129066316588515E-9</v>
      </c>
      <c r="AG80" s="10">
        <v>3.8247444326510125E-8</v>
      </c>
      <c r="AH80" s="10">
        <v>7.2674359282324584E-7</v>
      </c>
      <c r="AI80" s="10">
        <v>1.3808929171865304E-5</v>
      </c>
      <c r="AJ80" s="10">
        <v>2.6238487240433123E-4</v>
      </c>
      <c r="AK80" s="10">
        <v>4.9856017370923716E-3</v>
      </c>
      <c r="AL80" s="10">
        <v>9.4731927390217047E-2</v>
      </c>
      <c r="AM80" s="10">
        <v>0.80001101979299216</v>
      </c>
      <c r="AN80" s="10">
        <v>9.4731925382885676E-2</v>
      </c>
      <c r="AO80" s="10">
        <v>4.9855634899414625E-3</v>
      </c>
      <c r="AP80" s="7">
        <v>2.6165812882690748E-4</v>
      </c>
    </row>
    <row r="81" spans="1:42" x14ac:dyDescent="0.35">
      <c r="A81" s="39">
        <v>1.5981735159817355E-5</v>
      </c>
      <c r="B81" s="48">
        <f t="shared" si="2"/>
        <v>0</v>
      </c>
      <c r="C81" s="42">
        <f t="shared" si="8"/>
        <v>1.7582168726987463E-8</v>
      </c>
      <c r="D81" s="42">
        <f t="shared" si="8"/>
        <v>2.2997346228100056E-7</v>
      </c>
      <c r="E81" s="42">
        <f t="shared" si="8"/>
        <v>2.828843394381845E-6</v>
      </c>
      <c r="F81" s="42">
        <f t="shared" si="8"/>
        <v>3.2319277578140615E-5</v>
      </c>
      <c r="G81" s="42">
        <f t="shared" si="8"/>
        <v>3.3394638127182103E-4</v>
      </c>
      <c r="H81" s="42">
        <f t="shared" si="8"/>
        <v>2.9950772752192906E-3</v>
      </c>
      <c r="I81" s="42">
        <f t="shared" si="8"/>
        <v>2.1917034085476801E-2</v>
      </c>
      <c r="J81" s="42">
        <f t="shared" si="8"/>
        <v>0.1201149006818789</v>
      </c>
      <c r="K81" s="42">
        <f t="shared" si="8"/>
        <v>0.44408157888335775</v>
      </c>
      <c r="L81" s="42">
        <f t="shared" si="8"/>
        <v>1.0224065151164978</v>
      </c>
      <c r="M81" s="42">
        <f t="shared" si="8"/>
        <v>1.7006348287704558</v>
      </c>
      <c r="N81" s="42">
        <f t="shared" si="8"/>
        <v>2.4036480428000337</v>
      </c>
      <c r="O81" s="42">
        <f t="shared" si="8"/>
        <v>3.1139532834309973</v>
      </c>
      <c r="P81" s="42">
        <f t="shared" si="8"/>
        <v>3.8293304571838562</v>
      </c>
      <c r="Q81" s="42">
        <f t="shared" si="8"/>
        <v>4.5552274548484357</v>
      </c>
      <c r="R81" s="42">
        <f t="shared" si="8"/>
        <v>5.3517707914339061</v>
      </c>
      <c r="S81" s="42">
        <f t="shared" si="8"/>
        <v>6.7603949583994316</v>
      </c>
      <c r="T81" s="42">
        <f t="shared" si="8"/>
        <v>12.628795998131379</v>
      </c>
      <c r="U81" s="42">
        <f t="shared" si="8"/>
        <v>41.087966326622272</v>
      </c>
      <c r="V81" s="53">
        <f t="shared" si="8"/>
        <v>127.20450481763839</v>
      </c>
      <c r="X81" s="4">
        <v>6.2174162815140779E-21</v>
      </c>
      <c r="Y81" s="10">
        <v>1.1846497471282304E-19</v>
      </c>
      <c r="Z81" s="10">
        <v>2.2509822947039344E-18</v>
      </c>
      <c r="AA81" s="10">
        <v>4.2771145202100981E-17</v>
      </c>
      <c r="AB81" s="10">
        <v>8.1269889485450276E-16</v>
      </c>
      <c r="AC81" s="10">
        <v>1.5442174637555186E-14</v>
      </c>
      <c r="AD81" s="10">
        <v>2.9341833617160951E-13</v>
      </c>
      <c r="AE81" s="10">
        <v>5.5752717491184978E-12</v>
      </c>
      <c r="AF81" s="10">
        <v>1.0593630746491302E-10</v>
      </c>
      <c r="AG81" s="10">
        <v>2.0129065890061712E-9</v>
      </c>
      <c r="AH81" s="10">
        <v>3.8247443516062199E-8</v>
      </c>
      <c r="AI81" s="10">
        <v>7.2674357742384212E-7</v>
      </c>
      <c r="AJ81" s="10">
        <v>1.380892887925966E-5</v>
      </c>
      <c r="AK81" s="10">
        <v>2.6238486684450162E-4</v>
      </c>
      <c r="AL81" s="10">
        <v>4.9856016314494805E-3</v>
      </c>
      <c r="AM81" s="10">
        <v>9.473192538288569E-2</v>
      </c>
      <c r="AN81" s="10">
        <v>0.80001098165148421</v>
      </c>
      <c r="AO81" s="10">
        <v>9.4731200652199449E-2</v>
      </c>
      <c r="AP81" s="7">
        <v>4.9717928082131119E-3</v>
      </c>
    </row>
    <row r="82" spans="1:42" x14ac:dyDescent="0.35">
      <c r="A82" s="39">
        <v>1.1986301369863017E-5</v>
      </c>
      <c r="B82" s="48">
        <f t="shared" si="2"/>
        <v>0</v>
      </c>
      <c r="C82" s="42">
        <f t="shared" si="8"/>
        <v>3.6240351607680233E-9</v>
      </c>
      <c r="D82" s="42">
        <f t="shared" si="8"/>
        <v>5.3772437995280313E-8</v>
      </c>
      <c r="E82" s="42">
        <f t="shared" si="8"/>
        <v>7.6380479360407512E-7</v>
      </c>
      <c r="F82" s="42">
        <f t="shared" si="8"/>
        <v>1.029050670333967E-5</v>
      </c>
      <c r="G82" s="42">
        <f t="shared" si="8"/>
        <v>1.2868593610098478E-4</v>
      </c>
      <c r="H82" s="42">
        <f t="shared" si="8"/>
        <v>1.4390625398348086E-3</v>
      </c>
      <c r="I82" s="42">
        <f t="shared" si="8"/>
        <v>1.342996700975157E-2</v>
      </c>
      <c r="J82" s="42">
        <f t="shared" si="8"/>
        <v>9.3311945833801882E-2</v>
      </c>
      <c r="K82" s="42">
        <f t="shared" si="8"/>
        <v>0.41409677347558888</v>
      </c>
      <c r="L82" s="42">
        <f t="shared" si="8"/>
        <v>1.0131405939354012</v>
      </c>
      <c r="M82" s="42">
        <f t="shared" si="8"/>
        <v>1.7000368392293685</v>
      </c>
      <c r="N82" s="42">
        <f t="shared" si="8"/>
        <v>2.4048299688647532</v>
      </c>
      <c r="O82" s="42">
        <f t="shared" si="8"/>
        <v>3.115359040861335</v>
      </c>
      <c r="P82" s="42">
        <f t="shared" si="8"/>
        <v>3.8303388956398887</v>
      </c>
      <c r="Q82" s="42">
        <f t="shared" si="8"/>
        <v>4.5514511826641053</v>
      </c>
      <c r="R82" s="42">
        <f t="shared" si="8"/>
        <v>5.3015675335700134</v>
      </c>
      <c r="S82" s="42">
        <f t="shared" si="8"/>
        <v>6.3427080388699908</v>
      </c>
      <c r="T82" s="42">
        <f t="shared" si="8"/>
        <v>10.189135397370126</v>
      </c>
      <c r="U82" s="42">
        <f t="shared" si="8"/>
        <v>33.768881751420558</v>
      </c>
      <c r="V82" s="53">
        <f t="shared" si="8"/>
        <v>127.20653778259059</v>
      </c>
      <c r="X82" s="4">
        <v>3.2721095332539476E-22</v>
      </c>
      <c r="Y82" s="10">
        <v>6.2345893464949012E-21</v>
      </c>
      <c r="Z82" s="10">
        <v>1.1846497471282299E-19</v>
      </c>
      <c r="AA82" s="10">
        <v>2.2509651216389534E-18</v>
      </c>
      <c r="AB82" s="10">
        <v>4.277081799114765E-17</v>
      </c>
      <c r="AC82" s="10">
        <v>8.1269267743822116E-16</v>
      </c>
      <c r="AD82" s="10">
        <v>1.5442056499791426E-14</v>
      </c>
      <c r="AE82" s="10">
        <v>2.9341609142390409E-13</v>
      </c>
      <c r="AF82" s="10">
        <v>5.5752290964382699E-12</v>
      </c>
      <c r="AG82" s="10">
        <v>1.0593549701698329E-10</v>
      </c>
      <c r="AH82" s="10">
        <v>2.0128911896023517E-9</v>
      </c>
      <c r="AI82" s="10">
        <v>3.8247150910418706E-8</v>
      </c>
      <c r="AJ82" s="10">
        <v>7.2673801759414948E-7</v>
      </c>
      <c r="AK82" s="10">
        <v>1.380882323636829E-5</v>
      </c>
      <c r="AL82" s="10">
        <v>2.6238285951314167E-4</v>
      </c>
      <c r="AM82" s="10">
        <v>4.9855634899414608E-3</v>
      </c>
      <c r="AN82" s="10">
        <v>9.4731200652199449E-2</v>
      </c>
      <c r="AO82" s="10">
        <v>0.79999721096975596</v>
      </c>
      <c r="AP82" s="7">
        <v>9.4469542523372543E-2</v>
      </c>
    </row>
    <row r="83" spans="1:42" ht="15" thickBot="1" x14ac:dyDescent="0.4">
      <c r="A83" s="39">
        <v>7.9908675799086777E-6</v>
      </c>
      <c r="B83" s="48">
        <f t="shared" si="2"/>
        <v>0</v>
      </c>
      <c r="C83" s="42">
        <f t="shared" si="8"/>
        <v>5.0077687926848423E-10</v>
      </c>
      <c r="D83" s="42">
        <f t="shared" si="8"/>
        <v>8.4629996666699014E-9</v>
      </c>
      <c r="E83" s="42">
        <f t="shared" si="8"/>
        <v>1.3967873146172033E-7</v>
      </c>
      <c r="F83" s="42">
        <f t="shared" si="8"/>
        <v>2.2427160982327133E-6</v>
      </c>
      <c r="G83" s="42">
        <f t="shared" si="8"/>
        <v>3.4607781057525693E-5</v>
      </c>
      <c r="H83" s="42">
        <f t="shared" si="8"/>
        <v>5.0177328387631022E-4</v>
      </c>
      <c r="I83" s="42">
        <f t="shared" si="8"/>
        <v>6.5023823546155402E-3</v>
      </c>
      <c r="J83" s="42">
        <f t="shared" si="8"/>
        <v>6.4565824617748138E-2</v>
      </c>
      <c r="K83" s="42">
        <f t="shared" si="8"/>
        <v>0.3809754797560731</v>
      </c>
      <c r="L83" s="42">
        <f t="shared" si="8"/>
        <v>1.0056796628019502</v>
      </c>
      <c r="M83" s="42">
        <f t="shared" si="8"/>
        <v>1.700238900244895</v>
      </c>
      <c r="N83" s="42">
        <f t="shared" si="8"/>
        <v>2.4061647436003692</v>
      </c>
      <c r="O83" s="42">
        <f t="shared" si="8"/>
        <v>3.1168142606036406</v>
      </c>
      <c r="P83" s="42">
        <f t="shared" si="8"/>
        <v>3.8316905242567079</v>
      </c>
      <c r="Q83" s="42">
        <f t="shared" si="8"/>
        <v>4.5511534940628833</v>
      </c>
      <c r="R83" s="42">
        <f t="shared" si="8"/>
        <v>5.2810915090278163</v>
      </c>
      <c r="S83" s="42">
        <f t="shared" si="8"/>
        <v>6.1086228555585613</v>
      </c>
      <c r="T83" s="42">
        <f t="shared" si="8"/>
        <v>8.2143232618578175</v>
      </c>
      <c r="U83" s="42">
        <f t="shared" si="8"/>
        <v>24.801249932060241</v>
      </c>
      <c r="V83" s="53">
        <f t="shared" si="8"/>
        <v>127.20857078003343</v>
      </c>
      <c r="X83" s="8">
        <v>1.7173064980824589E-23</v>
      </c>
      <c r="Y83" s="12">
        <v>3.2721095332539466E-22</v>
      </c>
      <c r="Z83" s="12">
        <v>6.2174162815140748E-21</v>
      </c>
      <c r="AA83" s="12">
        <v>1.181377637594976E-19</v>
      </c>
      <c r="AB83" s="12">
        <v>2.2447477053574387E-18</v>
      </c>
      <c r="AC83" s="12">
        <v>4.2652680227388144E-17</v>
      </c>
      <c r="AD83" s="12">
        <v>8.1044792973286366E-16</v>
      </c>
      <c r="AE83" s="12">
        <v>1.5399403819564037E-14</v>
      </c>
      <c r="AF83" s="12">
        <v>2.9260564349417128E-13</v>
      </c>
      <c r="AG83" s="12">
        <v>5.5598296926187055E-12</v>
      </c>
      <c r="AH83" s="12">
        <v>1.0564289137348911E-10</v>
      </c>
      <c r="AI83" s="12">
        <v>2.0073313599097325E-9</v>
      </c>
      <c r="AJ83" s="12">
        <v>3.8141508019045219E-8</v>
      </c>
      <c r="AK83" s="12">
        <v>7.2473068623423971E-7</v>
      </c>
      <c r="AL83" s="12">
        <v>1.3770681728349243E-5</v>
      </c>
      <c r="AM83" s="12">
        <v>2.6165812882690743E-4</v>
      </c>
      <c r="AN83" s="12">
        <v>4.9717928082131119E-3</v>
      </c>
      <c r="AO83" s="12">
        <v>9.4469542523372529E-2</v>
      </c>
      <c r="AP83" s="9">
        <v>0.79502541816154282</v>
      </c>
    </row>
    <row r="84" spans="1:42" x14ac:dyDescent="0.35">
      <c r="A84" s="39">
        <v>3.9954337899543389E-6</v>
      </c>
      <c r="B84" s="48">
        <f t="shared" si="2"/>
        <v>0</v>
      </c>
      <c r="C84" s="42">
        <f t="shared" si="8"/>
        <v>3.450597700210395E-11</v>
      </c>
      <c r="D84" s="42">
        <f t="shared" si="8"/>
        <v>6.6518760830240738E-10</v>
      </c>
      <c r="E84" s="42">
        <f t="shared" si="8"/>
        <v>1.2787806760459005E-8</v>
      </c>
      <c r="F84" s="42">
        <f t="shared" si="8"/>
        <v>2.4583553891167707E-7</v>
      </c>
      <c r="G84" s="42">
        <f t="shared" si="8"/>
        <v>4.7259950081366991E-6</v>
      </c>
      <c r="H84" s="42">
        <f t="shared" si="8"/>
        <v>9.085353938044827E-5</v>
      </c>
      <c r="I84" s="42">
        <f t="shared" si="8"/>
        <v>1.7465878833434793E-3</v>
      </c>
      <c r="J84" s="42">
        <f t="shared" si="8"/>
        <v>3.3576779232210516E-2</v>
      </c>
      <c r="K84" s="42">
        <f t="shared" si="8"/>
        <v>0.34387207048105145</v>
      </c>
      <c r="L84" s="42">
        <f t="shared" si="8"/>
        <v>1.0008835623993735</v>
      </c>
      <c r="M84" s="42">
        <f t="shared" si="8"/>
        <v>1.7011373538407444</v>
      </c>
      <c r="N84" s="42">
        <f t="shared" si="8"/>
        <v>2.4075880721856233</v>
      </c>
      <c r="O84" s="42">
        <f t="shared" si="8"/>
        <v>3.1182860829512267</v>
      </c>
      <c r="P84" s="42">
        <f t="shared" si="8"/>
        <v>3.8331525087664042</v>
      </c>
      <c r="Q84" s="42">
        <f t="shared" si="8"/>
        <v>4.552244718230213</v>
      </c>
      <c r="R84" s="42">
        <f t="shared" si="8"/>
        <v>5.2763291625976505</v>
      </c>
      <c r="S84" s="42">
        <f t="shared" si="8"/>
        <v>6.0196996817714101</v>
      </c>
      <c r="T84" s="42">
        <f t="shared" si="8"/>
        <v>7.0566955089751646</v>
      </c>
      <c r="U84" s="42">
        <f t="shared" si="8"/>
        <v>13.660821251476616</v>
      </c>
      <c r="V84" s="53">
        <f t="shared" si="8"/>
        <v>127.21060380996731</v>
      </c>
    </row>
    <row r="85" spans="1:42" ht="15" thickBot="1" x14ac:dyDescent="0.4">
      <c r="A85" s="8">
        <v>0</v>
      </c>
      <c r="B85" s="49">
        <f>B36*$B$5*EXP($E$7*B$37+$E$8*$A36)</f>
        <v>0</v>
      </c>
      <c r="C85" s="50">
        <f t="shared" ref="C85:V85" si="9">C36*$B$5*EXP($E$7*C$37+$E$8*$A36)</f>
        <v>0</v>
      </c>
      <c r="D85" s="50">
        <f t="shared" si="9"/>
        <v>0</v>
      </c>
      <c r="E85" s="50">
        <f t="shared" si="9"/>
        <v>0</v>
      </c>
      <c r="F85" s="50">
        <f t="shared" si="9"/>
        <v>0</v>
      </c>
      <c r="G85" s="50">
        <f t="shared" si="9"/>
        <v>0</v>
      </c>
      <c r="H85" s="50">
        <f t="shared" si="9"/>
        <v>0</v>
      </c>
      <c r="I85" s="50">
        <f t="shared" si="9"/>
        <v>0</v>
      </c>
      <c r="J85" s="50">
        <f t="shared" si="9"/>
        <v>0</v>
      </c>
      <c r="K85" s="50">
        <f t="shared" si="9"/>
        <v>0.30162114425168285</v>
      </c>
      <c r="L85" s="50">
        <f t="shared" si="9"/>
        <v>0.99999999999999512</v>
      </c>
      <c r="M85" s="50">
        <f t="shared" si="9"/>
        <v>1.7024670904384844</v>
      </c>
      <c r="N85" s="50">
        <f t="shared" si="9"/>
        <v>2.4090463476532245</v>
      </c>
      <c r="O85" s="50">
        <f t="shared" si="9"/>
        <v>3.1197618438261259</v>
      </c>
      <c r="P85" s="50">
        <f t="shared" si="9"/>
        <v>3.8346377920550681</v>
      </c>
      <c r="Q85" s="50">
        <f t="shared" si="9"/>
        <v>4.5536985471788149</v>
      </c>
      <c r="R85" s="50">
        <f t="shared" si="9"/>
        <v>5.2769686066067463</v>
      </c>
      <c r="S85" s="50">
        <f t="shared" si="9"/>
        <v>6.0044726111534086</v>
      </c>
      <c r="T85" s="50">
        <f t="shared" si="9"/>
        <v>6.7362353458780184</v>
      </c>
      <c r="U85" s="50">
        <f t="shared" si="9"/>
        <v>7.4722817409289348</v>
      </c>
      <c r="V85" s="51">
        <f t="shared" si="9"/>
        <v>8.2126368723928245</v>
      </c>
    </row>
    <row r="86" spans="1:42" ht="15" thickBot="1" x14ac:dyDescent="0.4">
      <c r="A86" s="43" t="s">
        <v>20</v>
      </c>
      <c r="B86" s="24">
        <v>-0.05</v>
      </c>
      <c r="C86" s="12">
        <v>-4.4163175032948344E-2</v>
      </c>
      <c r="D86" s="12">
        <v>-3.8326350065896686E-2</v>
      </c>
      <c r="E86" s="12">
        <v>-3.2489525098845028E-2</v>
      </c>
      <c r="F86" s="12">
        <v>-2.6652700131793369E-2</v>
      </c>
      <c r="G86" s="12">
        <v>-2.0815875164741711E-2</v>
      </c>
      <c r="H86" s="12">
        <v>-1.4979050197690053E-2</v>
      </c>
      <c r="I86" s="12">
        <v>-9.1422252306383942E-3</v>
      </c>
      <c r="J86" s="12">
        <v>-3.3054002635867358E-3</v>
      </c>
      <c r="K86" s="12">
        <v>2.5314247034649226E-3</v>
      </c>
      <c r="L86" s="12">
        <v>8.368249670516581E-3</v>
      </c>
      <c r="M86" s="12">
        <v>1.4205074637568246E-2</v>
      </c>
      <c r="N86" s="12">
        <v>2.0041899604619898E-2</v>
      </c>
      <c r="O86" s="12">
        <v>2.5878724571671549E-2</v>
      </c>
      <c r="P86" s="12">
        <v>3.1715549538723214E-2</v>
      </c>
      <c r="Q86" s="12">
        <v>3.755237450577488E-2</v>
      </c>
      <c r="R86" s="12">
        <v>4.3389199472826531E-2</v>
      </c>
      <c r="S86" s="12">
        <v>4.9226024439878183E-2</v>
      </c>
      <c r="T86" s="12">
        <v>5.5062849406929848E-2</v>
      </c>
      <c r="U86" s="12">
        <v>6.0899674373981513E-2</v>
      </c>
      <c r="V86" s="25">
        <v>6.6736499341033165E-2</v>
      </c>
    </row>
    <row r="88" spans="1:42" ht="13.5" customHeight="1" x14ac:dyDescent="0.35"/>
    <row r="89" spans="1:42" s="44" customFormat="1" ht="5" customHeight="1" x14ac:dyDescent="0.35"/>
    <row r="90" spans="1:42" ht="15" thickBot="1" x14ac:dyDescent="0.4"/>
    <row r="91" spans="1:42" ht="15" thickBot="1" x14ac:dyDescent="0.4">
      <c r="A91" s="1" t="s">
        <v>33</v>
      </c>
      <c r="D91" s="54" t="s">
        <v>37</v>
      </c>
      <c r="E91" s="55" t="s">
        <v>38</v>
      </c>
    </row>
    <row r="92" spans="1:42" x14ac:dyDescent="0.35">
      <c r="A92" s="2" t="s">
        <v>34</v>
      </c>
      <c r="B92" s="3">
        <v>-1</v>
      </c>
      <c r="D92" s="4">
        <v>-1</v>
      </c>
      <c r="E92" s="7">
        <v>4.8427238035462228E-3</v>
      </c>
    </row>
    <row r="93" spans="1:42" x14ac:dyDescent="0.35">
      <c r="A93" s="4" t="s">
        <v>35</v>
      </c>
      <c r="B93" s="7">
        <v>1</v>
      </c>
      <c r="D93" s="4">
        <v>-0.98</v>
      </c>
      <c r="E93" s="7">
        <v>4.8418624098893748E-3</v>
      </c>
    </row>
    <row r="94" spans="1:42" ht="15" thickBot="1" x14ac:dyDescent="0.4">
      <c r="A94" s="8" t="s">
        <v>36</v>
      </c>
      <c r="B94" s="9">
        <v>0.02</v>
      </c>
      <c r="D94" s="4">
        <v>-0.96</v>
      </c>
      <c r="E94" s="7">
        <v>4.8448656656581157E-3</v>
      </c>
    </row>
    <row r="95" spans="1:42" x14ac:dyDescent="0.35">
      <c r="D95" s="4">
        <v>-0.94</v>
      </c>
      <c r="E95" s="7">
        <v>4.8516425023854559E-3</v>
      </c>
    </row>
    <row r="96" spans="1:42" x14ac:dyDescent="0.35">
      <c r="D96" s="4">
        <v>-0.92</v>
      </c>
      <c r="E96" s="7">
        <v>4.8621026643158594E-3</v>
      </c>
    </row>
    <row r="97" spans="4:5" x14ac:dyDescent="0.35">
      <c r="D97" s="4">
        <v>-0.9</v>
      </c>
      <c r="E97" s="7">
        <v>4.8761568120521126E-3</v>
      </c>
    </row>
    <row r="98" spans="4:5" x14ac:dyDescent="0.35">
      <c r="D98" s="4">
        <v>-0.88</v>
      </c>
      <c r="E98" s="7">
        <v>4.893716618105115E-3</v>
      </c>
    </row>
    <row r="99" spans="4:5" x14ac:dyDescent="0.35">
      <c r="D99" s="4">
        <v>-0.86</v>
      </c>
      <c r="E99" s="7">
        <v>4.9146948542737601E-3</v>
      </c>
    </row>
    <row r="100" spans="4:5" x14ac:dyDescent="0.35">
      <c r="D100" s="4">
        <v>-0.84</v>
      </c>
      <c r="E100" s="7">
        <v>4.9390054707794118E-3</v>
      </c>
    </row>
    <row r="101" spans="4:5" x14ac:dyDescent="0.35">
      <c r="D101" s="4">
        <v>-0.82000000000000006</v>
      </c>
      <c r="E101" s="7">
        <v>4.9665636674001146E-3</v>
      </c>
    </row>
    <row r="102" spans="4:5" x14ac:dyDescent="0.35">
      <c r="D102" s="4">
        <v>-0.8</v>
      </c>
      <c r="E102" s="7">
        <v>4.9972859565639016E-3</v>
      </c>
    </row>
    <row r="103" spans="4:5" x14ac:dyDescent="0.35">
      <c r="D103" s="4">
        <v>-0.78</v>
      </c>
      <c r="E103" s="7">
        <v>5.0310902186714301E-3</v>
      </c>
    </row>
    <row r="104" spans="4:5" x14ac:dyDescent="0.35">
      <c r="D104" s="4">
        <v>-0.76</v>
      </c>
      <c r="E104" s="7">
        <v>5.0678957497913846E-3</v>
      </c>
    </row>
    <row r="105" spans="4:5" x14ac:dyDescent="0.35">
      <c r="D105" s="4">
        <v>-0.74</v>
      </c>
      <c r="E105" s="7">
        <v>5.1076233020861395E-3</v>
      </c>
    </row>
    <row r="106" spans="4:5" x14ac:dyDescent="0.35">
      <c r="D106" s="4">
        <v>-0.72</v>
      </c>
      <c r="E106" s="7">
        <v>5.1501951171379901E-3</v>
      </c>
    </row>
    <row r="107" spans="4:5" x14ac:dyDescent="0.35">
      <c r="D107" s="4">
        <v>-0.7</v>
      </c>
      <c r="E107" s="7">
        <v>5.1955349526449091E-3</v>
      </c>
    </row>
    <row r="108" spans="4:5" x14ac:dyDescent="0.35">
      <c r="D108" s="4">
        <v>-0.67999999999999994</v>
      </c>
      <c r="E108" s="7">
        <v>5.2435681026963277E-3</v>
      </c>
    </row>
    <row r="109" spans="4:5" x14ac:dyDescent="0.35">
      <c r="D109" s="4">
        <v>-0.65999999999999992</v>
      </c>
      <c r="E109" s="7">
        <v>5.2942214121438624E-3</v>
      </c>
    </row>
    <row r="110" spans="4:5" x14ac:dyDescent="0.35">
      <c r="D110" s="4">
        <v>-0.64</v>
      </c>
      <c r="E110" s="7">
        <v>5.3474232853085724E-3</v>
      </c>
    </row>
    <row r="111" spans="4:5" x14ac:dyDescent="0.35">
      <c r="D111" s="4">
        <v>-0.62</v>
      </c>
      <c r="E111" s="7">
        <v>5.4031036896136087E-3</v>
      </c>
    </row>
    <row r="112" spans="4:5" x14ac:dyDescent="0.35">
      <c r="D112" s="4">
        <v>-0.6</v>
      </c>
      <c r="E112" s="7">
        <v>5.46119415432611E-3</v>
      </c>
    </row>
    <row r="113" spans="4:5" x14ac:dyDescent="0.35">
      <c r="D113" s="4">
        <v>-0.58000000000000007</v>
      </c>
      <c r="E113" s="7">
        <v>5.5216277650622647E-3</v>
      </c>
    </row>
    <row r="114" spans="4:5" x14ac:dyDescent="0.35">
      <c r="D114" s="4">
        <v>-0.56000000000000005</v>
      </c>
      <c r="E114" s="7">
        <v>5.5843391541914311E-3</v>
      </c>
    </row>
    <row r="115" spans="4:5" x14ac:dyDescent="0.35">
      <c r="D115" s="4">
        <v>-0.54</v>
      </c>
      <c r="E115" s="7">
        <v>5.649264487816108E-3</v>
      </c>
    </row>
    <row r="116" spans="4:5" x14ac:dyDescent="0.35">
      <c r="D116" s="4">
        <v>-0.52</v>
      </c>
      <c r="E116" s="7">
        <v>5.7163414493983655E-3</v>
      </c>
    </row>
    <row r="117" spans="4:5" x14ac:dyDescent="0.35">
      <c r="D117" s="4">
        <v>-0.5</v>
      </c>
      <c r="E117" s="7">
        <v>5.7855092207648173E-3</v>
      </c>
    </row>
    <row r="118" spans="4:5" x14ac:dyDescent="0.35">
      <c r="D118" s="4">
        <v>-0.48</v>
      </c>
      <c r="E118" s="7">
        <v>5.8567084604479458E-3</v>
      </c>
    </row>
    <row r="119" spans="4:5" x14ac:dyDescent="0.35">
      <c r="D119" s="4">
        <v>-0.45999999999999996</v>
      </c>
      <c r="E119" s="7">
        <v>5.9298812800767653E-3</v>
      </c>
    </row>
    <row r="120" spans="4:5" x14ac:dyDescent="0.35">
      <c r="D120" s="4">
        <v>-0.43999999999999995</v>
      </c>
      <c r="E120" s="7">
        <v>6.0049712187679738E-3</v>
      </c>
    </row>
    <row r="121" spans="4:5" x14ac:dyDescent="0.35">
      <c r="D121" s="4">
        <v>-0.42000000000000004</v>
      </c>
      <c r="E121" s="7">
        <v>6.081923216180618E-3</v>
      </c>
    </row>
    <row r="122" spans="4:5" x14ac:dyDescent="0.35">
      <c r="D122" s="4">
        <v>-0.4</v>
      </c>
      <c r="E122" s="7">
        <v>6.1606835841589991E-3</v>
      </c>
    </row>
    <row r="123" spans="4:5" x14ac:dyDescent="0.35">
      <c r="D123" s="4">
        <v>-0.38</v>
      </c>
      <c r="E123" s="7">
        <v>6.2411999774441007E-3</v>
      </c>
    </row>
    <row r="124" spans="4:5" x14ac:dyDescent="0.35">
      <c r="D124" s="4">
        <v>-0.36</v>
      </c>
      <c r="E124" s="7">
        <v>6.3234213635852132E-3</v>
      </c>
    </row>
    <row r="125" spans="4:5" x14ac:dyDescent="0.35">
      <c r="D125" s="4">
        <v>-0.33999999999999997</v>
      </c>
      <c r="E125" s="7">
        <v>6.4072979923297524E-3</v>
      </c>
    </row>
    <row r="126" spans="4:5" x14ac:dyDescent="0.35">
      <c r="D126" s="4">
        <v>-0.31999999999999995</v>
      </c>
      <c r="E126" s="7">
        <v>6.4927813645276888E-3</v>
      </c>
    </row>
    <row r="127" spans="4:5" x14ac:dyDescent="0.35">
      <c r="D127" s="4">
        <v>-0.29999999999999993</v>
      </c>
      <c r="E127" s="7">
        <v>6.5798242009724728E-3</v>
      </c>
    </row>
    <row r="128" spans="4:5" x14ac:dyDescent="0.35">
      <c r="D128" s="4">
        <v>-0.28000000000000003</v>
      </c>
      <c r="E128" s="7">
        <v>6.6683804110203582E-3</v>
      </c>
    </row>
    <row r="129" spans="4:5" x14ac:dyDescent="0.35">
      <c r="D129" s="4">
        <v>-0.26</v>
      </c>
      <c r="E129" s="7">
        <v>6.7584050613620494E-3</v>
      </c>
    </row>
    <row r="130" spans="4:5" x14ac:dyDescent="0.35">
      <c r="D130" s="4">
        <v>-0.24</v>
      </c>
      <c r="E130" s="7">
        <v>6.8498543450095095E-3</v>
      </c>
    </row>
    <row r="131" spans="4:5" x14ac:dyDescent="0.35">
      <c r="D131" s="4">
        <v>-0.21999999999999997</v>
      </c>
      <c r="E131" s="7">
        <v>6.9426855505190233E-3</v>
      </c>
    </row>
    <row r="132" spans="4:5" x14ac:dyDescent="0.35">
      <c r="D132" s="4">
        <v>-0.19999999999999996</v>
      </c>
      <c r="E132" s="7">
        <v>7.0368570315204604E-3</v>
      </c>
    </row>
    <row r="133" spans="4:5" x14ac:dyDescent="0.35">
      <c r="D133" s="4">
        <v>-0.17999999999999994</v>
      </c>
      <c r="E133" s="7">
        <v>7.1323281768846947E-3</v>
      </c>
    </row>
    <row r="134" spans="4:5" x14ac:dyDescent="0.35">
      <c r="D134" s="4">
        <v>-0.16000000000000003</v>
      </c>
      <c r="E134" s="7">
        <v>7.2290593811867865E-3</v>
      </c>
    </row>
    <row r="135" spans="4:5" x14ac:dyDescent="0.35">
      <c r="D135" s="4">
        <v>-0.14000000000000001</v>
      </c>
      <c r="E135" s="7">
        <v>7.3270120158839269E-3</v>
      </c>
    </row>
    <row r="136" spans="4:5" x14ac:dyDescent="0.35">
      <c r="D136" s="4">
        <v>-0.12</v>
      </c>
      <c r="E136" s="7">
        <v>7.426148401046051E-3</v>
      </c>
    </row>
    <row r="137" spans="4:5" x14ac:dyDescent="0.35">
      <c r="D137" s="4">
        <v>-9.9999999999999978E-2</v>
      </c>
      <c r="E137" s="7">
        <v>7.5264317776482237E-3</v>
      </c>
    </row>
    <row r="138" spans="4:5" x14ac:dyDescent="0.35">
      <c r="D138" s="4">
        <v>-7.999999999999996E-2</v>
      </c>
      <c r="E138" s="7">
        <v>7.6278262807067954E-3</v>
      </c>
    </row>
    <row r="139" spans="4:5" x14ac:dyDescent="0.35">
      <c r="D139" s="4">
        <v>-5.9999999999999942E-2</v>
      </c>
      <c r="E139" s="7">
        <v>7.7302969129040555E-3</v>
      </c>
    </row>
    <row r="140" spans="4:5" x14ac:dyDescent="0.35">
      <c r="D140" s="4">
        <v>-4.0000000000000036E-2</v>
      </c>
      <c r="E140" s="7">
        <v>7.8338095190335633E-3</v>
      </c>
    </row>
    <row r="141" spans="4:5" x14ac:dyDescent="0.35">
      <c r="D141" s="4">
        <v>-2.0000000000000018E-2</v>
      </c>
      <c r="E141" s="7">
        <v>7.9383307611096132E-3</v>
      </c>
    </row>
    <row r="142" spans="4:5" x14ac:dyDescent="0.35">
      <c r="D142" s="4">
        <v>0</v>
      </c>
      <c r="E142" s="7">
        <v>8.0438280941865781E-3</v>
      </c>
    </row>
    <row r="143" spans="4:5" x14ac:dyDescent="0.35">
      <c r="D143" s="4">
        <v>2.0000000000000018E-2</v>
      </c>
      <c r="E143" s="7">
        <v>8.1502697428905702E-3</v>
      </c>
    </row>
    <row r="144" spans="4:5" x14ac:dyDescent="0.35">
      <c r="D144" s="4">
        <v>4.0000000000000036E-2</v>
      </c>
      <c r="E144" s="7">
        <v>8.2576246786691954E-3</v>
      </c>
    </row>
    <row r="145" spans="4:5" x14ac:dyDescent="0.35">
      <c r="D145" s="4">
        <v>6.0000000000000053E-2</v>
      </c>
      <c r="E145" s="7">
        <v>8.3658625976605894E-3</v>
      </c>
    </row>
    <row r="146" spans="4:5" x14ac:dyDescent="0.35">
      <c r="D146" s="4">
        <v>8.0000000000000071E-2</v>
      </c>
      <c r="E146" s="7">
        <v>8.4749538993904583E-3</v>
      </c>
    </row>
    <row r="147" spans="4:5" x14ac:dyDescent="0.35">
      <c r="D147" s="4">
        <v>0.10000000000000009</v>
      </c>
      <c r="E147" s="7">
        <v>8.5848696660335566E-3</v>
      </c>
    </row>
    <row r="148" spans="4:5" x14ac:dyDescent="0.35">
      <c r="D148" s="4">
        <v>0.12000000000000011</v>
      </c>
      <c r="E148" s="7">
        <v>8.6955816423632815E-3</v>
      </c>
    </row>
    <row r="149" spans="4:5" x14ac:dyDescent="0.35">
      <c r="D149" s="4">
        <v>0.14000000000000012</v>
      </c>
      <c r="E149" s="7">
        <v>8.8070622163640699E-3</v>
      </c>
    </row>
    <row r="150" spans="4:5" x14ac:dyDescent="0.35">
      <c r="D150" s="4">
        <v>0.15999999999999992</v>
      </c>
      <c r="E150" s="7">
        <v>8.9192844004701843E-3</v>
      </c>
    </row>
    <row r="151" spans="4:5" x14ac:dyDescent="0.35">
      <c r="D151" s="4">
        <v>0.17999999999999994</v>
      </c>
      <c r="E151" s="7">
        <v>9.0322218134757382E-3</v>
      </c>
    </row>
    <row r="152" spans="4:5" x14ac:dyDescent="0.35">
      <c r="D152" s="4">
        <v>0.19999999999999996</v>
      </c>
      <c r="E152" s="7">
        <v>9.1458486629354407E-3</v>
      </c>
    </row>
    <row r="153" spans="4:5" x14ac:dyDescent="0.35">
      <c r="D153" s="4">
        <v>0.21999999999999997</v>
      </c>
      <c r="E153" s="7">
        <v>9.2601397282265907E-3</v>
      </c>
    </row>
    <row r="154" spans="4:5" x14ac:dyDescent="0.35">
      <c r="D154" s="4">
        <v>0.24</v>
      </c>
      <c r="E154" s="7">
        <v>9.3750703441533023E-3</v>
      </c>
    </row>
    <row r="155" spans="4:5" x14ac:dyDescent="0.35">
      <c r="D155" s="4">
        <v>0.26</v>
      </c>
      <c r="E155" s="7">
        <v>9.4906163851569136E-3</v>
      </c>
    </row>
    <row r="156" spans="4:5" x14ac:dyDescent="0.35">
      <c r="D156" s="4">
        <v>0.28000000000000003</v>
      </c>
      <c r="E156" s="7">
        <v>9.6067542499471692E-3</v>
      </c>
    </row>
    <row r="157" spans="4:5" x14ac:dyDescent="0.35">
      <c r="D157" s="4">
        <v>0.30000000000000004</v>
      </c>
      <c r="E157" s="7">
        <v>9.7234608467404726E-3</v>
      </c>
    </row>
    <row r="158" spans="4:5" x14ac:dyDescent="0.35">
      <c r="D158" s="4">
        <v>0.32000000000000006</v>
      </c>
      <c r="E158" s="7">
        <v>9.8407135789384537E-3</v>
      </c>
    </row>
    <row r="159" spans="4:5" x14ac:dyDescent="0.35">
      <c r="D159" s="4">
        <v>0.34000000000000008</v>
      </c>
      <c r="E159" s="7">
        <v>9.9584903313567619E-3</v>
      </c>
    </row>
    <row r="160" spans="4:5" x14ac:dyDescent="0.35">
      <c r="D160" s="4">
        <v>0.3600000000000001</v>
      </c>
      <c r="E160" s="7">
        <v>1.0076769456791146E-2</v>
      </c>
    </row>
    <row r="161" spans="4:5" x14ac:dyDescent="0.35">
      <c r="D161" s="4">
        <v>0.38000000000000012</v>
      </c>
      <c r="E161" s="7">
        <v>1.0195529763170619E-2</v>
      </c>
    </row>
    <row r="162" spans="4:5" x14ac:dyDescent="0.35">
      <c r="D162" s="4">
        <v>0.40000000000000013</v>
      </c>
      <c r="E162" s="7">
        <v>1.0314750501068559E-2</v>
      </c>
    </row>
    <row r="163" spans="4:5" x14ac:dyDescent="0.35">
      <c r="D163" s="4">
        <v>0.41999999999999993</v>
      </c>
      <c r="E163" s="7">
        <v>1.0434411351581296E-2</v>
      </c>
    </row>
    <row r="164" spans="4:5" x14ac:dyDescent="0.35">
      <c r="D164" s="4">
        <v>0.43999999999999995</v>
      </c>
      <c r="E164" s="7">
        <v>1.0554492414724725E-2</v>
      </c>
    </row>
    <row r="165" spans="4:5" x14ac:dyDescent="0.35">
      <c r="D165" s="4">
        <v>0.45999999999999996</v>
      </c>
      <c r="E165" s="7">
        <v>1.0674974198120468E-2</v>
      </c>
    </row>
    <row r="166" spans="4:5" x14ac:dyDescent="0.35">
      <c r="D166" s="4">
        <v>0.48</v>
      </c>
      <c r="E166" s="7">
        <v>1.0795837606070169E-2</v>
      </c>
    </row>
    <row r="167" spans="4:5" x14ac:dyDescent="0.35">
      <c r="D167" s="4">
        <v>0.5</v>
      </c>
      <c r="E167" s="7">
        <v>1.091706392900349E-2</v>
      </c>
    </row>
    <row r="168" spans="4:5" x14ac:dyDescent="0.35">
      <c r="D168" s="4">
        <v>0.52</v>
      </c>
      <c r="E168" s="7">
        <v>1.1038634833277383E-2</v>
      </c>
    </row>
    <row r="169" spans="4:5" x14ac:dyDescent="0.35">
      <c r="D169" s="4">
        <v>0.54</v>
      </c>
      <c r="E169" s="7">
        <v>1.116053235127934E-2</v>
      </c>
    </row>
    <row r="170" spans="4:5" x14ac:dyDescent="0.35">
      <c r="D170" s="4">
        <v>0.56000000000000005</v>
      </c>
      <c r="E170" s="7">
        <v>1.1282738871830178E-2</v>
      </c>
    </row>
    <row r="171" spans="4:5" x14ac:dyDescent="0.35">
      <c r="D171" s="4">
        <v>0.58000000000000007</v>
      </c>
      <c r="E171" s="7">
        <v>1.1405237130983625E-2</v>
      </c>
    </row>
    <row r="172" spans="4:5" x14ac:dyDescent="0.35">
      <c r="D172" s="4">
        <v>0.60000000000000009</v>
      </c>
      <c r="E172" s="7">
        <v>1.1528010202987549E-2</v>
      </c>
    </row>
    <row r="173" spans="4:5" x14ac:dyDescent="0.35">
      <c r="D173" s="4">
        <v>0.62000000000000011</v>
      </c>
      <c r="E173" s="7">
        <v>1.1651041491640646E-2</v>
      </c>
    </row>
    <row r="174" spans="4:5" x14ac:dyDescent="0.35">
      <c r="D174" s="4">
        <v>0.64000000000000012</v>
      </c>
      <c r="E174" s="7">
        <v>1.1774314721866963E-2</v>
      </c>
    </row>
    <row r="175" spans="4:5" x14ac:dyDescent="0.35">
      <c r="D175" s="4">
        <v>0.66000000000000014</v>
      </c>
      <c r="E175" s="7">
        <v>1.1897813931567525E-2</v>
      </c>
    </row>
    <row r="176" spans="4:5" x14ac:dyDescent="0.35">
      <c r="D176" s="4">
        <v>0.67999999999999994</v>
      </c>
      <c r="E176" s="7">
        <v>1.2021523463706663E-2</v>
      </c>
    </row>
    <row r="177" spans="4:5" x14ac:dyDescent="0.35">
      <c r="D177" s="4">
        <v>0.7</v>
      </c>
      <c r="E177" s="7">
        <v>1.2145427958678567E-2</v>
      </c>
    </row>
    <row r="178" spans="4:5" x14ac:dyDescent="0.35">
      <c r="D178" s="4">
        <v>0.72</v>
      </c>
      <c r="E178" s="7">
        <v>1.2269512346874567E-2</v>
      </c>
    </row>
    <row r="179" spans="4:5" x14ac:dyDescent="0.35">
      <c r="D179" s="4">
        <v>0.74</v>
      </c>
      <c r="E179" s="7">
        <v>1.2393761841487105E-2</v>
      </c>
    </row>
    <row r="180" spans="4:5" x14ac:dyDescent="0.35">
      <c r="D180" s="4">
        <v>0.76</v>
      </c>
      <c r="E180" s="7">
        <v>1.2518161931543315E-2</v>
      </c>
    </row>
    <row r="181" spans="4:5" x14ac:dyDescent="0.35">
      <c r="D181" s="4">
        <v>0.78</v>
      </c>
      <c r="E181" s="7">
        <v>1.2642698375118E-2</v>
      </c>
    </row>
    <row r="182" spans="4:5" x14ac:dyDescent="0.35">
      <c r="D182" s="4">
        <v>0.8</v>
      </c>
      <c r="E182" s="7">
        <v>1.2767357192791984E-2</v>
      </c>
    </row>
    <row r="183" spans="4:5" x14ac:dyDescent="0.35">
      <c r="D183" s="4">
        <v>0.82000000000000006</v>
      </c>
      <c r="E183" s="7">
        <v>1.2892124661263882E-2</v>
      </c>
    </row>
    <row r="184" spans="4:5" x14ac:dyDescent="0.35">
      <c r="D184" s="4">
        <v>0.84000000000000008</v>
      </c>
      <c r="E184" s="7">
        <v>1.301698730717038E-2</v>
      </c>
    </row>
    <row r="185" spans="4:5" x14ac:dyDescent="0.35">
      <c r="D185" s="4">
        <v>0.8600000000000001</v>
      </c>
      <c r="E185" s="7">
        <v>1.314193190109525E-2</v>
      </c>
    </row>
    <row r="186" spans="4:5" x14ac:dyDescent="0.35">
      <c r="D186" s="4">
        <v>0.88000000000000012</v>
      </c>
      <c r="E186" s="7">
        <v>1.3266945451742229E-2</v>
      </c>
    </row>
    <row r="187" spans="4:5" x14ac:dyDescent="0.35">
      <c r="D187" s="4">
        <v>0.90000000000000013</v>
      </c>
      <c r="E187" s="7">
        <v>1.3392015200260898E-2</v>
      </c>
    </row>
    <row r="188" spans="4:5" x14ac:dyDescent="0.35">
      <c r="D188" s="4">
        <v>0.91999999999999993</v>
      </c>
      <c r="E188" s="7">
        <v>1.3517128614776164E-2</v>
      </c>
    </row>
    <row r="189" spans="4:5" x14ac:dyDescent="0.35">
      <c r="D189" s="4">
        <v>0.94</v>
      </c>
      <c r="E189" s="7">
        <v>1.364227338503321E-2</v>
      </c>
    </row>
    <row r="190" spans="4:5" x14ac:dyDescent="0.35">
      <c r="D190" s="4">
        <v>0.96</v>
      </c>
      <c r="E190" s="7">
        <v>1.3767437417245398E-2</v>
      </c>
    </row>
    <row r="191" spans="4:5" x14ac:dyDescent="0.35">
      <c r="D191" s="4">
        <v>0.98</v>
      </c>
      <c r="E191" s="7">
        <v>1.3892608828997899E-2</v>
      </c>
    </row>
    <row r="192" spans="4:5" ht="15" thickBot="1" x14ac:dyDescent="0.4">
      <c r="D192" s="8">
        <v>1</v>
      </c>
      <c r="E192" s="9">
        <v>1.4017775944413335E-2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">
                <anchor moveWithCells="1" sizeWithCells="1">
                  <from>
                    <xdr:col>6</xdr:col>
                    <xdr:colOff>152400</xdr:colOff>
                    <xdr:row>0</xdr:row>
                    <xdr:rowOff>146050</xdr:rowOff>
                  </from>
                  <to>
                    <xdr:col>7</xdr:col>
                    <xdr:colOff>488950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SM">
                <anchor moveWithCells="1" sizeWithCells="1">
                  <from>
                    <xdr:col>6</xdr:col>
                    <xdr:colOff>127000</xdr:colOff>
                    <xdr:row>2</xdr:row>
                    <xdr:rowOff>165100</xdr:rowOff>
                  </from>
                  <to>
                    <xdr:col>7</xdr:col>
                    <xdr:colOff>457200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lot">
                <anchor moveWithCells="1" sizeWithCells="1">
                  <from>
                    <xdr:col>0</xdr:col>
                    <xdr:colOff>107950</xdr:colOff>
                    <xdr:row>95</xdr:row>
                    <xdr:rowOff>6350</xdr:rowOff>
                  </from>
                  <to>
                    <xdr:col>0</xdr:col>
                    <xdr:colOff>1130300</xdr:colOff>
                    <xdr:row>96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huang</dc:creator>
  <cp:lastModifiedBy>Rene huang</cp:lastModifiedBy>
  <dcterms:created xsi:type="dcterms:W3CDTF">2017-04-21T03:16:31Z</dcterms:created>
  <dcterms:modified xsi:type="dcterms:W3CDTF">2017-04-26T20:11:55Z</dcterms:modified>
</cp:coreProperties>
</file>